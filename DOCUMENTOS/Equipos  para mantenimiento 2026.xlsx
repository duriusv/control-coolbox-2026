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SH PERU SAC" sheetId="1" r:id="rId5"/>
    <sheet state="visible" name="Hoja1" sheetId="2" r:id="rId6"/>
  </sheets>
  <definedNames>
    <definedName hidden="1" localSheetId="0" name="_xlnm._FilterDatabase">'RASH PERU SAC'!$B$1:$U$141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tc={699df3e5-d229-41eb-9ff7-bdcf43633e26}</author>
    <author>tc={7be9679e-2694-4fc4-90c8-8df0f494fd5b}</author>
    <author>tc={8445f440-5c77-4955-a3b1-88742784a1d8}</author>
    <author>tc={8b0d9590-a3ef-4bfb-8b65-e03611aaf009}</author>
    <author>tc={9621a011-a902-43b2-81cb-0f69ce542e54}</author>
    <author>tc={9965c77c-ddc1-4e3b-b477-a65e2d92c264}</author>
    <author>tc={bc411aab-ef4f-45f7-9d16-80b8384a319c}</author>
  </authors>
  <commentList>
    <comment authorId="0" xr:uid="{699df3e5-d229-41eb-9ff7-bdcf43633e26}" ref="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Beatle Pos
</t>
      </text>
    </comment>
    <comment authorId="1" xr:uid="{7be9679e-2694-4fc4-90c8-8df0f494fd5b}" ref="O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Beatle Pos
</t>
      </text>
    </comment>
    <comment authorId="2" xr:uid="{8445f440-5c77-4955-a3b1-88742784a1d8}" ref="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Beatle Pos
</t>
      </text>
    </comment>
    <comment authorId="3" xr:uid="{8b0d9590-a3ef-4bfb-8b65-e03611aaf009}" ref="M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Histone
</t>
      </text>
    </comment>
    <comment authorId="4" xr:uid="{9621a011-a902-43b2-81cb-0f69ce542e54}" ref="H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
</t>
      </text>
    </comment>
    <comment authorId="5" xr:uid="{9965c77c-ddc1-4e3b-b477-a65e2d92c264}" ref="N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Histone
</t>
      </text>
    </comment>
    <comment authorId="6" xr:uid="{bc411aab-ef4f-45f7-9d16-80b8384a319c}" ref="M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Beatle Pos
</t>
      </text>
    </comment>
  </commentList>
</comments>
</file>

<file path=xl/sharedStrings.xml><?xml version="1.0" encoding="utf-8"?>
<sst xmlns="http://schemas.openxmlformats.org/spreadsheetml/2006/main" count="1553" uniqueCount="349">
  <si>
    <t>CIUDAD</t>
  </si>
  <si>
    <t>TIENDAS</t>
  </si>
  <si>
    <t>N°</t>
  </si>
  <si>
    <t>CLASIFICACION</t>
  </si>
  <si>
    <t>REF</t>
  </si>
  <si>
    <t>DIRECCION</t>
  </si>
  <si>
    <t>Equipos Asignado</t>
  </si>
  <si>
    <t>VTAMOVIL</t>
  </si>
  <si>
    <t>CAJAS FIJAS</t>
  </si>
  <si>
    <t>TICKETERA</t>
  </si>
  <si>
    <t>PC</t>
  </si>
  <si>
    <t>LECTOR</t>
  </si>
  <si>
    <t>GAVETA</t>
  </si>
  <si>
    <t>CAJA01</t>
  </si>
  <si>
    <t>CAJA02</t>
  </si>
  <si>
    <t>ALL IN ONE</t>
  </si>
  <si>
    <t>CAJA03</t>
  </si>
  <si>
    <t>CAJA04</t>
  </si>
  <si>
    <t>CALIFICACION</t>
  </si>
  <si>
    <t>SERVIDOR</t>
  </si>
  <si>
    <t>TDAS PROVINCIA</t>
  </si>
  <si>
    <t>MANT</t>
  </si>
  <si>
    <t>EQU.ADMIN</t>
  </si>
  <si>
    <t>USO</t>
  </si>
  <si>
    <t>LIMA</t>
  </si>
  <si>
    <t>TDAS LIMA</t>
  </si>
  <si>
    <t>B11</t>
  </si>
  <si>
    <t>Bronce</t>
  </si>
  <si>
    <t>AV. NICOLAS AYLLON 8694 INT 124 - LC.124-125-126 C.C. REAL.PLAZA. SANTA CLARA - ATE</t>
  </si>
  <si>
    <t>no tiene</t>
  </si>
  <si>
    <t>si</t>
  </si>
  <si>
    <t>CHINCHA</t>
  </si>
  <si>
    <t>B13</t>
  </si>
  <si>
    <t>PROVINCIA</t>
  </si>
  <si>
    <t>AV. OSCAR R. BENAVIDES S/N INT.4 -CDRA. 8, PAN. SUR, DENTRO DE PLAZA VEA - CHINCHA</t>
  </si>
  <si>
    <t>critico</t>
  </si>
  <si>
    <t>Servidor IGC</t>
  </si>
  <si>
    <t>HUACHO</t>
  </si>
  <si>
    <t>B17</t>
  </si>
  <si>
    <t>CAL. COLON 601 INT 135 -LC 135-137 PLAZA DEL SOL NORTE CHICO-HUACHO</t>
  </si>
  <si>
    <t>AREQUIPA</t>
  </si>
  <si>
    <t>B22</t>
  </si>
  <si>
    <t>Oro</t>
  </si>
  <si>
    <t>AV PORONGOCHE NRO 500 INT.2038 INT A-2038,A-2040 Y A-2042 CC.MALL AVENT-PAUCARPATA-AREQUIPA</t>
  </si>
  <si>
    <t>PIURA</t>
  </si>
  <si>
    <t>B25</t>
  </si>
  <si>
    <t>AV. SANCHEZ CERRO S/N INT 111- -C.C. PIURA SUBLOTE 234-239A INT.111-113-PIURA</t>
  </si>
  <si>
    <t>TARAPOTO</t>
  </si>
  <si>
    <t>B35</t>
  </si>
  <si>
    <t>JR. SAN MARTIN 127 - -TARAPOTO-SAN MARTIN</t>
  </si>
  <si>
    <t>administracion</t>
  </si>
  <si>
    <t>B39</t>
  </si>
  <si>
    <t>AV. GUARDIA CIVIL 927 INT L108 -C.C.REAL PLAZA CRUCE G.CIVIL CON FAISANE-CHORRILLOS</t>
  </si>
  <si>
    <t>B42</t>
  </si>
  <si>
    <t>URB. PEDRO CUEVA AV. NESTOR GAMBETA MZ C LOTE 30-34 INT 1140 -DENTRO HIPER METRO-VENTANILLA</t>
  </si>
  <si>
    <t>CHIMBOTE</t>
  </si>
  <si>
    <t>B50</t>
  </si>
  <si>
    <t>URB. PARQUE GRAN CHAVIN AV. V.RAUL.H. DE LA TORRE MZ B LOTE 1A- INT L53 -INT. 53,54 Y 55 LOTE1A-1A2</t>
  </si>
  <si>
    <t>B54</t>
  </si>
  <si>
    <t>AV. T.VALLE/CARR.PAN.NORTE S/N INT 1164 DENTRO HIPERMERCADOS METRO-PZA.LIMA NORTE</t>
  </si>
  <si>
    <t>B55</t>
  </si>
  <si>
    <t>AV. LARCO 628 - -MIRAFLORES</t>
  </si>
  <si>
    <t>B57</t>
  </si>
  <si>
    <t xml:space="preserve">URB. SAN BORJA MZ I -2 -INT 138- INT.139 C.C.SAN BORJA PLAZA J.P.ESTE-MORELLI - SAN BORJA </t>
  </si>
  <si>
    <t>HUANUCO</t>
  </si>
  <si>
    <t>B58</t>
  </si>
  <si>
    <t>LAS MORAS JR. INDEPENDENCIA S/N INT 124 CDRAS. 16 Y 17 C.C.REAL PLAZA LC 124. HUANUCO</t>
  </si>
  <si>
    <t>HUARAL</t>
  </si>
  <si>
    <t>B59</t>
  </si>
  <si>
    <t>URB. ROSARIO ZONA A MZ F LOTE 2A INT. 6 -DENTRO DE PLAZA VEA HUARAL</t>
  </si>
  <si>
    <t>B62</t>
  </si>
  <si>
    <t>AV. JOSE PARDO 678 - MIRAFLORES</t>
  </si>
  <si>
    <t>B70</t>
  </si>
  <si>
    <t xml:space="preserve">AV. AVIACION 602 INT 1015 C.C. CERRO COLORADO - CERRO COLORADO - AREQUIPA </t>
  </si>
  <si>
    <t>CHICLAYO</t>
  </si>
  <si>
    <t>B77</t>
  </si>
  <si>
    <t>AV.BALTA 155 INT 1108 DENTRO DE HIPERMERCADOS METRO-CHICLAYO</t>
  </si>
  <si>
    <t>PUCALLPA</t>
  </si>
  <si>
    <t>B82</t>
  </si>
  <si>
    <t>AV. CENTENARIO 4614 INT LC03 C.C OPEN PLAZA PUCALLPA - YARINACOCHA-CORONEL PORTILLO-UCAYALI</t>
  </si>
  <si>
    <t>AYACUCHO</t>
  </si>
  <si>
    <t>B83</t>
  </si>
  <si>
    <t>JR. 09 DE DICIEMBRE 382 - 386. AYACUCHO - HUAMANGA - AYACUCHO</t>
  </si>
  <si>
    <t>CUSCO</t>
  </si>
  <si>
    <t>B84</t>
  </si>
  <si>
    <t>AV. DE LA CULTURA S/N INT 135 C.C REAL PLAZA CUSCO LC-135 Y LC-137 - CUSCO</t>
  </si>
  <si>
    <t>CAJAMARCA</t>
  </si>
  <si>
    <t>B85</t>
  </si>
  <si>
    <t>AV. EVITAMIENTO NORTE LOTE 1A INT 121 LC:121-123 C.C REAL PLAZA - CAJAMARCA</t>
  </si>
  <si>
    <t>B90</t>
  </si>
  <si>
    <t>Platino</t>
  </si>
  <si>
    <t>AV. FELIPE SANTIAGO SALAVERRY 2370 INT.301 C.C.REAL PLAZA SALAVERRY-JESUS MARIA</t>
  </si>
  <si>
    <t>B92</t>
  </si>
  <si>
    <t>URB.SAN ANTONIO AV.28 DE JULIO 1039  INT 101- PASO 28 DE JULIO - MIRAFLORES</t>
  </si>
  <si>
    <t>B98</t>
  </si>
  <si>
    <t>AV. ARGENTINA 3093 INT 370 -LOCAL 370 AVENIDA-3 PABELLON-5 C.C.MINKA - CALLAO</t>
  </si>
  <si>
    <t>H01</t>
  </si>
  <si>
    <t>AV.ENCALADA 1415 INT. B211 TIENDA 210-BLOCK B B211-SANTIAGO DE SURCO-LIMA-LIMA</t>
  </si>
  <si>
    <t>TRUJILLO</t>
  </si>
  <si>
    <t>H02</t>
  </si>
  <si>
    <t>JR.PIZARRO N° 650-654-664-666 INT LC-102-TRUJILLO - LA LIBERTAD</t>
  </si>
  <si>
    <t>H03</t>
  </si>
  <si>
    <t>AV.CARLOS ALBERTO IZAGUIRRE 287-289 INT. L113-URB.PAN. NORTE-SECTOR INDUSTRIAL-ROYAL PLAZA-INDEPENDENCIA-LIMA</t>
  </si>
  <si>
    <t>H04</t>
  </si>
  <si>
    <t>AV. ARNALDO MARQUEZ  N° 1394 - 1398  JESUS MARIA - LIMA-LIMA</t>
  </si>
  <si>
    <t>H05</t>
  </si>
  <si>
    <t>AV. JOSE PARDO N° 221 MIRAFLORES -LIMA-LIMA</t>
  </si>
  <si>
    <t>TALARA</t>
  </si>
  <si>
    <t>H06</t>
  </si>
  <si>
    <t>AV. IGNACIO MERINO S/N PARCELA  A  LOTE 2 LCE 101-PARIÑAS-TALARA-PIURA</t>
  </si>
  <si>
    <t>H07</t>
  </si>
  <si>
    <t>AV.SANCHEZ CERRO 234 - ZONA INDUSTRIAL PIURA LC168-C.C.REAL PLAZA- PIURA-PIURA-PIURA</t>
  </si>
  <si>
    <t>H08</t>
  </si>
  <si>
    <t>AV. JAVIER PRADO 4350-SANTIAGO DE SURCO-LIMA-LIMA  ( GRIFO PRIMAX JOCKEY PLAZA)</t>
  </si>
  <si>
    <t>H10</t>
  </si>
  <si>
    <t>AV.NICOLAS AYLLON 4770 INT. 119A-REAL PLAZA PURUCHUCOS-ATE-LIMA-LIMA</t>
  </si>
  <si>
    <t>H11</t>
  </si>
  <si>
    <t>AV. CARLOS IZAGUIRRE 766 MZ B LOTE 10 URB. LAS PALMERAS - LOS OLIVOS-LIMA-LIMA</t>
  </si>
  <si>
    <t>H12</t>
  </si>
  <si>
    <t>AV. CANAVAL Y MOREYRA 265 - SAN ISIDRO-LIMA</t>
  </si>
  <si>
    <t>SULLANA</t>
  </si>
  <si>
    <t>H13</t>
  </si>
  <si>
    <t>ZONA INDUSTRIAL MUNICIPAL N° 02 MZ E LOTE 01 y 02  LC-104 PIURA-SULLANA</t>
  </si>
  <si>
    <t>H15</t>
  </si>
  <si>
    <t>AV.GRAN CHIMU S/N MZ. B-1 LT. 25 -UNI.INMOB. N1 PRIMER PISO - URB. ZARATE-SAN JUAN DE LURIGANCHO-LIMA-LIMA</t>
  </si>
  <si>
    <t>H16</t>
  </si>
  <si>
    <t>AV. SAN JUAN 1190 LOTE 18 ; MZ XII , URB SAN JUAN , LIMA- SAN JUAN DE MIRAFLORES</t>
  </si>
  <si>
    <t>F03</t>
  </si>
  <si>
    <t>AV. JAVIER PRADO ESTE 420 TDA. TD2 URB. FUNDO MONTERRICO CHICO C.C.JOCKEY PLAZA-SANTIAGO DE SURCO-LIMA-LIMA</t>
  </si>
  <si>
    <t>F04</t>
  </si>
  <si>
    <t>AV. LA MARINA 2100-URB. PANDO 6TA ETAPA PLAZA SAN MIGUEL- SAN MIGUEL-LIMA-LIMA</t>
  </si>
  <si>
    <t>F05</t>
  </si>
  <si>
    <t>AV. ALFREDO MENDIOLA 3698 INT. A-9 URB.INDUSTRIL- PANAM. NORTE C.C. MEGAPLAZA-INDEPENDENCIA</t>
  </si>
  <si>
    <t>F06</t>
  </si>
  <si>
    <t>F06:   AV. ALFREDO MENDIOLA  1400 INT. TDA6 URB. MESA REDONDA C.C. PLZ NORTE-INDEPENDENCIA-LIMA-LIMA</t>
  </si>
  <si>
    <t>F07</t>
  </si>
  <si>
    <t>AV.LOS LIRIOS 301 INT. 1194-2202-3214 URB.ENTEL PERU - SAN JUAN DE MIRAFLORES-LIMA-LIMA</t>
  </si>
  <si>
    <t>H09</t>
  </si>
  <si>
    <t>JR. 28 DE JULIO 944 - HUANUCO-HUANUCO-HUANUCO</t>
  </si>
  <si>
    <t>K06</t>
  </si>
  <si>
    <t>AV. SALAVERRY 3308 - MAGDALENA DEL MAR</t>
  </si>
  <si>
    <t>K11</t>
  </si>
  <si>
    <t>Diamante</t>
  </si>
  <si>
    <t>AV. LA MARINA S/N INT 231 -C.C. PLAZA SAN MIGUEL-SAN MIGUEL</t>
  </si>
  <si>
    <t>K16</t>
  </si>
  <si>
    <t>AV. ANGAMOS ESTE 2681 INT 130 -LC-130 LC-132.R.PZA.PRIMAVERA 1ER NIVEL -SAN BORJA-</t>
  </si>
  <si>
    <t>K18</t>
  </si>
  <si>
    <t>AV. EJERCITO S/N -DENTRO DEL C.C.CAYMA TDA.N:19,20 Y 22 -CAYMA-AREQUIPA</t>
  </si>
  <si>
    <t>K20</t>
  </si>
  <si>
    <t>RES. CENTRO CAL. MERCADERES 100 -ESQUINA CON PORTAL DE FLORES -AREQUIPA</t>
  </si>
  <si>
    <t>K21</t>
  </si>
  <si>
    <t>CAL. CUZCO 801 INT. 1 - 2.  C.C. PLAZA DEL SOL  - PIURA</t>
  </si>
  <si>
    <t>K22</t>
  </si>
  <si>
    <t>URB. EL REMANSO DE LA MOLINA AV. RAUL FERRERO 1205 INT 2 -C. C. MOLINA PLAZA -LA MOLINA</t>
  </si>
  <si>
    <t>K24</t>
  </si>
  <si>
    <t>CAL. MCAL. ANDRES A. CACERES 222 INT 126 -C.C. REAL PLAZA TDA. L.C. 126 -CHICLAYO</t>
  </si>
  <si>
    <t>K25</t>
  </si>
  <si>
    <t>AV. PROL PASEO D LA REPUBLICA SN INT 218A -C.C.PLAZA LIMA SUR LC.218A Y 218 -CHORRILLOS</t>
  </si>
  <si>
    <t>K28</t>
  </si>
  <si>
    <t>JR. SOR MANUELA GIL 151 -LC-126,LC-128,LC-130 C.C. QUINDE-CAJAMARCA</t>
  </si>
  <si>
    <t>K34</t>
  </si>
  <si>
    <t>AV. BENAVIDES 2310 - MIRAFLORES</t>
  </si>
  <si>
    <t>K36</t>
  </si>
  <si>
    <t>URB. CHACARILLA DEL ESTANQUE CAL. MONTEGRANDE 145 - SANTIAGO DE SURCO</t>
  </si>
  <si>
    <t>K38</t>
  </si>
  <si>
    <t>AV. DE LA CULTURA 1206 - WANCHAQ-CUSCO</t>
  </si>
  <si>
    <t>K40</t>
  </si>
  <si>
    <t>CAL. AYACUCHO 178 -A 1/2 CUADRA DE LA AV. EL SOL FRACCION 3-CUSCO</t>
  </si>
  <si>
    <t>K43</t>
  </si>
  <si>
    <t>AV. ALFREDO MENDIOLA 3698 INT 112 -DENTRO DEL C.C.MEGAPLAZA 2DO. NIVEL-INDEPENDENCIA</t>
  </si>
  <si>
    <t>K46</t>
  </si>
  <si>
    <t xml:space="preserve">JR. LADISLAO ESPINAR 545 -CHIMBOTE-SANTA-ANCASH    </t>
  </si>
  <si>
    <t>K47</t>
  </si>
  <si>
    <t>CAL. MORELLI 135 -DENTRO DEL EDIFICIO COMER. SAN BORJA N:3-SAN BORJA-</t>
  </si>
  <si>
    <t>K49</t>
  </si>
  <si>
    <t>AV. ALFREDO MENDIOLA 7042 -LC-103 CENTRO C.REAL PLAZA PRO-SAN MARTIN DE PORRES</t>
  </si>
  <si>
    <t>ICA</t>
  </si>
  <si>
    <t>K50</t>
  </si>
  <si>
    <t>CAL. LIMA 442 - ICA-ICA</t>
  </si>
  <si>
    <t>K53</t>
  </si>
  <si>
    <t>CAL.LA MAR 154 LCE-102-PLAZA VEA SULLANA-SULLANA-SULLANA-PIURA</t>
  </si>
  <si>
    <t>K55</t>
  </si>
  <si>
    <t>AV. CANTA CALLAO 378 INT 11 -PROLONGACION ALEJANDRO BERTELLO 1685 -CALLAO</t>
  </si>
  <si>
    <t>K58</t>
  </si>
  <si>
    <t>JR. DE LA UNION 481 - LIMA</t>
  </si>
  <si>
    <t>K60</t>
  </si>
  <si>
    <t>AV. AMERICA NORTE 1245 -INT. 17 DENTRO DEL CENTRO COMERCIAL-TRUJILLO</t>
  </si>
  <si>
    <t>HUANCAYO</t>
  </si>
  <si>
    <t>K61</t>
  </si>
  <si>
    <t>AV. FERROCARRIL 1035 -INT 238 DENTRO DEL C.C REAL PLAZA HYO-HUANCAYO</t>
  </si>
  <si>
    <t>K62</t>
  </si>
  <si>
    <t>URB. EL AGUILA  AV. OSCAR R. BENAVIDES 3866 -INT:A-2030- MALL AVENTURA PLAZA- BELLAVISTA</t>
  </si>
  <si>
    <t>K63</t>
  </si>
  <si>
    <t>AV. LA ENCALADA 620 INT 21 -TIENDAS 21 Y 22-SANTIAGO DE SURCO</t>
  </si>
  <si>
    <t>HUARAZ</t>
  </si>
  <si>
    <t>K67</t>
  </si>
  <si>
    <t>AV. MARISCAL LUZURIAGA 447 - HUARAZ</t>
  </si>
  <si>
    <t>K69</t>
  </si>
  <si>
    <t>AV. LA MARINA 2355 INT 04 -DENTRO DEL C.C.LA MARINA OPEN PLAZA-SAN MIGUEL</t>
  </si>
  <si>
    <t>K71</t>
  </si>
  <si>
    <t>AV. ALFREDO MENDIOLA 1400 INT S126 LOCAL S-126-128-130, C.C.PZA. LIMA NORTE -INDEPENDENCIA</t>
  </si>
  <si>
    <t>IQUITOS</t>
  </si>
  <si>
    <t>K72</t>
  </si>
  <si>
    <t>JR. BAP PROSPERO 259 - A 1/2 CDRA DE PZA DE ARMAS-257-259-261-IQUITOS</t>
  </si>
  <si>
    <t>PUNO</t>
  </si>
  <si>
    <t>K73</t>
  </si>
  <si>
    <t>CAL. TUMBES Y SAN MARTIN S/N INT 111- -C.C. R.PLAZA JULIACA INT.111-113-JULIACA</t>
  </si>
  <si>
    <t>K74</t>
  </si>
  <si>
    <t>AV. PROCERES DE LA INDEPENDEN 1632 INT 1152 -DENTRO DE METRO - SAN JUAN DE LURIGANCHO</t>
  </si>
  <si>
    <t>K75</t>
  </si>
  <si>
    <t>AV.INCA GARCILASO DE LA VEGA 1337 INT. 2038 C.C.REAL PLAZA CENTRO CIVICO-LIMA</t>
  </si>
  <si>
    <t>K76</t>
  </si>
  <si>
    <t>AV. ALAMEDA SUR S N INT 106 -ESQUINA CON AV. SAN MARCOS MANZANA II-CHORRILLOS</t>
  </si>
  <si>
    <t>K96</t>
  </si>
  <si>
    <t>AV. ANGAMOS 1803 INT LC:8 -DENTRO C.C. OPEN PLAZA ANGAMOS-SURQUILLO</t>
  </si>
  <si>
    <t>M07</t>
  </si>
  <si>
    <t>JR.SAN MARTIN 218 INT M-06-C.C.REAL PLAZA JULIACA-JULIACA-SAN ROMAN-PUNO</t>
  </si>
  <si>
    <t>M10</t>
  </si>
  <si>
    <t>AV.GENERAL FEILPE SALAVERRY 2370 INT.M111-JESUS MARIA-LIMA-LIMA</t>
  </si>
  <si>
    <t>M12</t>
  </si>
  <si>
    <t>AV. CENTENARIO N° 1642 INT M-104, DIS. YARINACOCHA, PROVINCIA DE CORONEL PORTILLO-PUCALLPA</t>
  </si>
  <si>
    <t>M16</t>
  </si>
  <si>
    <t>AV.ANGAMOS ESTE 2681 INT MC01-MZ1-LOTE B-1-SAN BORJA-LIMA-LIMA  (REAL PLAZA)</t>
  </si>
  <si>
    <t>S01</t>
  </si>
  <si>
    <t>CALLE LOS TITANES 156 – URB. LA CAMPIÑA CHORRILLOS – LIMA – LIMA</t>
  </si>
  <si>
    <t>guiado</t>
  </si>
  <si>
    <t>T04</t>
  </si>
  <si>
    <t>AV. CARRETERA CENTRAL 111,  INT. B-1038, B-1040 Y B-1057B C.C. MALL AVENTURA PLAZA-SANTA ANITA</t>
  </si>
  <si>
    <t>T05</t>
  </si>
  <si>
    <t xml:space="preserve">AV. ALFREDO MENDIOLA 3698 INT L352. C.C. MEGAPLAZA - INDEPENDENCIA </t>
  </si>
  <si>
    <t>T06</t>
  </si>
  <si>
    <t>AV. LOS MAESTROS 206  LC-163  C.C. EL QUINDE SHOPPING PLAZA -ICA</t>
  </si>
  <si>
    <t>T07</t>
  </si>
  <si>
    <t>C.C.LA RAMBLA BRASIL- AV.BRASIL 714-792 LC 131-132- BRENA</t>
  </si>
  <si>
    <t>T10</t>
  </si>
  <si>
    <t xml:space="preserve"> AV. EMILIO CAVENECIA 306 - SAN ISIDRO</t>
  </si>
  <si>
    <t>PISCO</t>
  </si>
  <si>
    <t>T15</t>
  </si>
  <si>
    <t>AV. LAS AMERICAS 2881 INT L08 - NRO: 2881-2883 - C.C.MEGA PLAZA   - PISCO</t>
  </si>
  <si>
    <t>T16</t>
  </si>
  <si>
    <t>JR.DOS DE MAYO S/N LOTE REF.INT 03A LT.02,03 Y 04-C.C. OPEN PLAZA HUANUCO.</t>
  </si>
  <si>
    <t>T19</t>
  </si>
  <si>
    <t>AV.JAVIER PRADO ESTE 4200-SEGUNDA NAVE JOCKEY PLAZA LN2-45-SANTIAGO DE SURCO</t>
  </si>
  <si>
    <t>T21</t>
  </si>
  <si>
    <t>AV. CENTENARIO 1642 INT 112 C.C. REAL PLAZA LC 112-114 - UCAYALI-</t>
  </si>
  <si>
    <t>T22</t>
  </si>
  <si>
    <t>CAL. CARRETERA ATOCONGO S/N INT 2022 C.C. MALL SUR SUB LOTE 1 LCS - 2022</t>
  </si>
  <si>
    <t>MOQUEGUA</t>
  </si>
  <si>
    <t>T24</t>
  </si>
  <si>
    <t>FND.EL GRAMADAL AV.CIRCUNVALACION LOTE 1-B INT 102-SUB LOTE 1. DENTRO DE PLAZA VEA-MOQUEGUA</t>
  </si>
  <si>
    <t>T28</t>
  </si>
  <si>
    <t>AV.EJERCITO NRO.1009 INTER.LC-221-C.C.REAL PLAZA AREQUIPA-CAYMA-AREQUIPA</t>
  </si>
  <si>
    <t>TUMBES</t>
  </si>
  <si>
    <t>T40</t>
  </si>
  <si>
    <t>CAL. ABAD PUELL NRO. 770 INT. 107-TUMBES</t>
  </si>
  <si>
    <t>T41</t>
  </si>
  <si>
    <t>AV.PACHACUTEC NRO.3721 INT.212 P.J.CESAR VALLEJO-INT.LC-212 C.C.REAL PLAZA VMT- V.M.T</t>
  </si>
  <si>
    <t>T42</t>
  </si>
  <si>
    <t>AV.FERROCARRIL NRO.146 INT.LC02-INT.LC-02 C.C.OPEN PLAZA HUANCAYO-HUANCAYO</t>
  </si>
  <si>
    <t>T43</t>
  </si>
  <si>
    <t>URB.EL INGENIO AV.AMERICA OESTE 750 INT 1002-INT A-1002 CC MALL PLAZA -TRUJILLO</t>
  </si>
  <si>
    <t>T44</t>
  </si>
  <si>
    <t xml:space="preserve">CAL. LAS BEGONIAS 730 -  EDIFICIO CENTRO COMERCIAL 3 - SAN ISIDRO </t>
  </si>
  <si>
    <t>T47</t>
  </si>
  <si>
    <t>AV.EJERCITO 793 INT.2009-LOCAL A-2009A-C.C.MALL PLAZA AREQUIPA-CAYMA-AREQUIPA</t>
  </si>
  <si>
    <t>T49</t>
  </si>
  <si>
    <t>AV.LOS LIRIOS 301 INT.2154 LOCAL LCS-2154 CC MALL SUR 2DO NIVEL.SAN JUAN DE MIRAFLORES</t>
  </si>
  <si>
    <t>T50</t>
  </si>
  <si>
    <t>AV.LA MARINA 2000 INT C223-AV.LA MARINA 2000-2100 TD C-223 CCPZA SM-SAN MIGUEL</t>
  </si>
  <si>
    <t>T51</t>
  </si>
  <si>
    <t>AV.SALAVERRY 810-SCTOR BARRIO SMP-P.VEA SMP-TARAPOTO-SAN MARTIN</t>
  </si>
  <si>
    <t>T52</t>
  </si>
  <si>
    <t>AV COSTANERA S/N-P.VEA ILO-ILO</t>
  </si>
  <si>
    <t>T59</t>
  </si>
  <si>
    <t>AV.ALFREDO MENDIOLA 1400 N-278/280-C.C.PLAZA LIMA NORTE-INDEPENDENCIA-LIMA</t>
  </si>
  <si>
    <t>T65</t>
  </si>
  <si>
    <t xml:space="preserve">AV.NICOLAS AYLLON 4770-INT.172-LC-172-ATE-LIMA-LIMA  </t>
  </si>
  <si>
    <t>T70</t>
  </si>
  <si>
    <t>AV.LOS ANGELES 602 TDA  B1053–B1057-MALL PLAZA COMAS-COMAS-LIMA-LIMA</t>
  </si>
  <si>
    <t>T71</t>
  </si>
  <si>
    <t>AV.CIRCUNVALACION 1801-LC-32-SAN JUAN DE MIRAFLORES-LIMA-LIMA</t>
  </si>
  <si>
    <t>T73</t>
  </si>
  <si>
    <t>AV. ALFREDO MENDIOLA 3698 INT.L36C-CC MEGAPLAZA L36CDEL CENTRO-INDEPENDENCIA-LIMA-LIMA</t>
  </si>
  <si>
    <t>T74</t>
  </si>
  <si>
    <t>CHACARILLA-CALLE MONTERREY 198 TIENDA N 9-SANTIAGO DE SURCO-LIMA-LIMA</t>
  </si>
  <si>
    <t>T75</t>
  </si>
  <si>
    <t>URB. EL INGENIO AV. AMERICA OESTE 750 INT. D-1132 CC MALL PLAZA TRUJILLO-TRUJILLO-LA LIBERTAD.</t>
  </si>
  <si>
    <t>T76</t>
  </si>
  <si>
    <t>URB.LOS SIRIUS 2DA ETAPA AV.RAUL FERRERO 1-2 INT 1068-SEC. 1-2-3-4A-4BC-5A-5B-5C-LA MOLINA-LIMA-LIMA</t>
  </si>
  <si>
    <t>T77</t>
  </si>
  <si>
    <t>AV.SAN MARTIN 727INT 124-CC PLAZ.DEL SOL NRO 727-763 LC 124-126-ICA-ICA-ICA</t>
  </si>
  <si>
    <t>T78</t>
  </si>
  <si>
    <t>AV. JOSE ABELARDO QUIÑONES LOTE NINFAS 2; SAN JUAN BAUTISTA B-1015 -IQUITOS-LORETO</t>
  </si>
  <si>
    <t>T79</t>
  </si>
  <si>
    <t>AV.SAN JUAN DE LURIGANCHO N° 997-999 INT B-1009-SUB LOTE 3-MZ.A C.C.MALL AVENTURA-S.J.L. - LIMA-LIMA</t>
  </si>
  <si>
    <t>T80</t>
  </si>
  <si>
    <t>AV.NICOLAS AYLLON 965 CHACLACAYO-LIMA - DENTRO DE METRO</t>
  </si>
  <si>
    <t>T81</t>
  </si>
  <si>
    <t>AV. PANAMERICANA NORTE 639 LOCAL  B-1014; B1016 LAMBAYEQUE-CHICLAYO-CHICLAYO</t>
  </si>
  <si>
    <t>T82</t>
  </si>
  <si>
    <t>AV.ELMERT FAUCETT 650 INT 1120 -SAN MIGUEL-LIMA - METRO FAUCETT</t>
  </si>
  <si>
    <t>T83</t>
  </si>
  <si>
    <t>AV.DEFENSORES DEL MORRO 1350 INT.L-07 C.C.HIPERMERCADO TOTTUS-CHORRILLOS-LIMA-LIMA</t>
  </si>
  <si>
    <t>T84</t>
  </si>
  <si>
    <t>AV. SANTIAGO DE SURCO N° 5000 INT LCE-103, URB. BOLICHERA - SANTIAGO DE SURCO</t>
  </si>
  <si>
    <t>T85</t>
  </si>
  <si>
    <t>AV. AVIACIÓN N° 5150 INT LCE-110, URB. RESIDENCIAL HIGUERETA, SANTIAGO DE SURCO</t>
  </si>
  <si>
    <t>T86</t>
  </si>
  <si>
    <t>AV. JAVIER PRADO ESTE 4200 INT. LCI-110A TDA EXE URB. FUNDO MONTERICO CHICO -SANTIAGO DE SURCO</t>
  </si>
  <si>
    <t>T87</t>
  </si>
  <si>
    <t>AV. JAVIER PRADO, URB ORRANTIA DEL MAR, DISTRITO DE MAGDALENA DEL MAR</t>
  </si>
  <si>
    <t>T88</t>
  </si>
  <si>
    <t>AV. CANADA N° 1110 INTERIOR 1036, URB SANTA CATALINA - LA VICTORIA</t>
  </si>
  <si>
    <t>T89</t>
  </si>
  <si>
    <t>AV. AYACUCHO 127 INT 103-104 MZ B2, LT 10-18 SANTIAGO DE SURCO</t>
  </si>
  <si>
    <t>T90</t>
  </si>
  <si>
    <t>PARQUE INDUSTRIAL PARCELA II, MANZANA K-3, LOTE 01, LOCAL LCE-103, DISTRITO DE VILLA EL SALVADOR</t>
  </si>
  <si>
    <t>TACNA</t>
  </si>
  <si>
    <t>T91</t>
  </si>
  <si>
    <t>AV. BENJAMÍN CISNEROS N° 110 - 120 INT LCI-105, DISTRITO, PROVINCIA Y DEPARTAMENTO DE TACNA</t>
  </si>
  <si>
    <t>T92</t>
  </si>
  <si>
    <t>AV. SAN BORJA NORTE  N° 996 - PRIMER PISO - SAN LUIS</t>
  </si>
  <si>
    <t>T93</t>
  </si>
  <si>
    <t>AGRUPAMIENTO DE FAMILIAS JAHUAY ST A, MZ Y LOTE N° 1-4, L T03, DIST DE LURÍN, PROVIN Y DEPART LIMA</t>
  </si>
  <si>
    <t>T94</t>
  </si>
  <si>
    <t>CAL. ANTIGUA PANAMERICANA SUR - PARCELA B-43 INT LCI-102 URB. SAN VICENTE</t>
  </si>
  <si>
    <t>T95</t>
  </si>
  <si>
    <t>AV. NICOLAS AYLLON Y AV. LA MAR INT LCI-104A, FUNDO INQUISIDOR Y PULIDO - DISTRITO DE ATE</t>
  </si>
  <si>
    <t>T96</t>
  </si>
  <si>
    <t>AV. GRAU 1460 INT LC-158B PIURA - PIURA - PIURA</t>
  </si>
  <si>
    <t>T97</t>
  </si>
  <si>
    <t>AV. COLLASUYO 2964 INT LC-260 CUSCO - CUSCO - CUSCO</t>
  </si>
  <si>
    <t>T98</t>
  </si>
  <si>
    <t>JR. JOSE GALVEZ N°. 526 MAGDALENA DEL MAR - LIMA</t>
  </si>
  <si>
    <t>T99</t>
  </si>
  <si>
    <t>AV.LA MARINA 2000-2100 INT.V08-A SAN MIGUEL</t>
  </si>
  <si>
    <t>A01</t>
  </si>
  <si>
    <t>AV Néstor Gambeta N° 1570 Int AC_30_006, Callao</t>
  </si>
  <si>
    <t>A02</t>
  </si>
  <si>
    <t>Av. Néstor Gambeta N° 1570 Int AC_30_106, Callao</t>
  </si>
  <si>
    <t>A03</t>
  </si>
  <si>
    <t>Av. Néstor Gambeta N° 1570 Int AC_30_114, Callao</t>
  </si>
  <si>
    <t>TOTAL TDAS.</t>
  </si>
  <si>
    <t>TDAS. PARA MANTENIMIENTO</t>
  </si>
  <si>
    <t>PC PROVINCIA</t>
  </si>
  <si>
    <t>PC LIMA</t>
  </si>
  <si>
    <t>ALL IN ONE PROVINCIA</t>
  </si>
  <si>
    <t>ALL IN ONE LIMA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</si>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</sst>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409]#,##0.00"/>
  </numFmts>
  <fonts count="11">
    <font>
      <sz val="11.0"/>
      <color theme="1"/>
      <name val="Calibri"/>
      <scheme val="minor"/>
    </font>
    <font>
      <b/>
      <sz val="10.0"/>
      <color theme="0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rgb="FF000000"/>
      <name val="Calibri"/>
    </font>
    <font>
      <b/>
      <sz val="9.0"/>
      <color theme="1"/>
      <name val="Arial"/>
    </font>
    <font>
      <b/>
      <sz val="9.0"/>
      <color rgb="FF00000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6">
    <border/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164" applyAlignment="1" applyFont="1" applyNumberFormat="1"/>
  </cellStyleXfs>
  <cellXfs count="43">
    <xf borderId="0" fillId="0" fontId="0" numFmtId="164" xfId="0" applyAlignment="1" applyFont="1" applyNumberFormat="1">
      <alignment readingOrder="0" shrinkToFit="0" vertical="bottom" wrapText="0"/>
    </xf>
    <xf borderId="1" fillId="2" fontId="1" numFmtId="164" xfId="0" applyBorder="1" applyFill="1" applyFont="1" applyNumberFormat="1"/>
    <xf borderId="2" fillId="2" fontId="1" numFmtId="164" xfId="0" applyBorder="1" applyFill="1" applyFont="1" applyNumberFormat="1"/>
    <xf borderId="3" fillId="0" fontId="2" numFmtId="164" xfId="0" applyAlignment="1" applyBorder="1" applyFont="1" applyNumberFormat="1">
      <alignment horizontal="center"/>
    </xf>
    <xf borderId="1" fillId="2" fontId="1" numFmtId="164" xfId="0" applyAlignment="1" applyBorder="1" applyFill="1" applyFont="1" applyNumberFormat="1">
      <alignment horizontal="center"/>
    </xf>
    <xf borderId="4" fillId="0" fontId="3" numFmtId="0" xfId="0" applyBorder="1" applyFont="1"/>
    <xf borderId="5" fillId="2" fontId="1" numFmtId="164" xfId="0" applyBorder="1" applyFill="1" applyFont="1" applyNumberFormat="1"/>
    <xf borderId="6" fillId="0" fontId="2" numFmtId="164" xfId="0" applyBorder="1" applyFont="1" applyNumberFormat="1"/>
    <xf borderId="6" fillId="0" fontId="4" numFmtId="164" xfId="0" applyAlignment="1" applyBorder="1" applyFont="1" applyNumberFormat="1">
      <alignment horizontal="left"/>
    </xf>
    <xf borderId="6" fillId="0" fontId="4" numFmtId="0" xfId="0" applyBorder="1" applyFont="1"/>
    <xf borderId="7" fillId="0" fontId="5" numFmtId="164" xfId="0" applyAlignment="1" applyBorder="1" applyFont="1" applyNumberFormat="1">
      <alignment horizontal="left" vertical="center"/>
    </xf>
    <xf borderId="4" fillId="0" fontId="6" numFmtId="164" xfId="0" applyBorder="1" applyFont="1" applyNumberFormat="1"/>
    <xf borderId="4" fillId="0" fontId="7" numFmtId="164" xfId="0" applyAlignment="1" applyBorder="1" applyFont="1" applyNumberFormat="1">
      <alignment vertical="center"/>
    </xf>
    <xf borderId="3" fillId="0" fontId="4" numFmtId="164" xfId="0" applyAlignment="1" applyBorder="1" applyFont="1" applyNumberFormat="1">
      <alignment horizontal="center"/>
    </xf>
    <xf borderId="6" fillId="0" fontId="7" numFmtId="164" xfId="0" applyAlignment="1" applyBorder="1" applyFont="1" applyNumberFormat="1">
      <alignment vertical="center"/>
    </xf>
    <xf borderId="6" fillId="0" fontId="6" numFmtId="164" xfId="0" applyAlignment="1" applyBorder="1" applyFont="1" applyNumberFormat="1">
      <alignment horizontal="left"/>
    </xf>
    <xf borderId="6" fillId="0" fontId="8" numFmtId="0" xfId="0" applyAlignment="1" applyBorder="1" applyFont="1">
      <alignment horizontal="center" vertical="center"/>
    </xf>
    <xf borderId="6" fillId="0" fontId="2" numFmtId="0" xfId="0" applyBorder="1" applyFont="1"/>
    <xf borderId="6" fillId="0" fontId="6" numFmtId="164" xfId="0" applyBorder="1" applyFont="1" applyNumberFormat="1"/>
    <xf borderId="6" fillId="0" fontId="4" numFmtId="164" xfId="0" applyBorder="1" applyFont="1" applyNumberFormat="1"/>
    <xf borderId="8" fillId="0" fontId="5" numFmtId="164" xfId="0" applyAlignment="1" applyBorder="1" applyFont="1" applyNumberFormat="1">
      <alignment horizontal="left" vertical="center"/>
    </xf>
    <xf borderId="6" fillId="0" fontId="7" numFmtId="164" xfId="0" applyAlignment="1" applyBorder="1" applyFont="1" applyNumberFormat="1">
      <alignment horizontal="left" vertical="center"/>
    </xf>
    <xf borderId="6" fillId="0" fontId="9" numFmtId="0" xfId="0" applyAlignment="1" applyBorder="1" applyFont="1">
      <alignment horizontal="center" vertical="center"/>
    </xf>
    <xf borderId="9" fillId="0" fontId="5" numFmtId="164" xfId="0" applyAlignment="1" applyBorder="1" applyFont="1" applyNumberFormat="1">
      <alignment horizontal="left" vertical="center"/>
    </xf>
    <xf borderId="3" fillId="0" fontId="6" numFmtId="164" xfId="0" applyAlignment="1" applyBorder="1" applyFont="1" applyNumberFormat="1">
      <alignment horizontal="left"/>
    </xf>
    <xf borderId="3" fillId="0" fontId="7" numFmtId="164" xfId="0" applyAlignment="1" applyBorder="1" applyFont="1" applyNumberFormat="1">
      <alignment horizontal="left" vertical="center"/>
    </xf>
    <xf borderId="10" fillId="0" fontId="6" numFmtId="164" xfId="0" applyBorder="1" applyFont="1" applyNumberFormat="1"/>
    <xf borderId="11" fillId="0" fontId="5" numFmtId="164" xfId="0" applyAlignment="1" applyBorder="1" applyFont="1" applyNumberFormat="1">
      <alignment horizontal="left" vertical="center"/>
    </xf>
    <xf borderId="12" fillId="0" fontId="5" numFmtId="164" xfId="0" applyAlignment="1" applyBorder="1" applyFont="1" applyNumberFormat="1">
      <alignment horizontal="left" vertical="center"/>
    </xf>
    <xf borderId="13" fillId="0" fontId="5" numFmtId="164" xfId="0" applyAlignment="1" applyBorder="1" applyFont="1" applyNumberFormat="1">
      <alignment horizontal="left" vertical="center"/>
    </xf>
    <xf borderId="14" fillId="0" fontId="5" numFmtId="164" xfId="0" applyAlignment="1" applyBorder="1" applyFont="1" applyNumberFormat="1">
      <alignment horizontal="left" vertical="center"/>
    </xf>
    <xf borderId="6" fillId="0" fontId="5" numFmtId="164" xfId="0" applyAlignment="1" applyBorder="1" applyFont="1" applyNumberFormat="1">
      <alignment horizontal="left" vertical="center"/>
    </xf>
    <xf borderId="0" fillId="0" fontId="5" numFmtId="164" xfId="0" applyAlignment="1" applyFont="1" applyNumberFormat="1">
      <alignment horizontal="center" vertical="center"/>
    </xf>
    <xf borderId="0" fillId="0" fontId="7" numFmtId="164" xfId="0" applyAlignment="1" applyFont="1" applyNumberFormat="1">
      <alignment vertical="center"/>
    </xf>
    <xf borderId="0" fillId="0" fontId="7" numFmtId="164" xfId="0" applyAlignment="1" applyFont="1" applyNumberFormat="1">
      <alignment horizontal="center" vertical="center"/>
    </xf>
    <xf borderId="0" fillId="0" fontId="6" numFmtId="0" xfId="0" applyFont="1"/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horizontal="center"/>
    </xf>
    <xf borderId="0" fillId="0" fontId="10" numFmtId="0" xfId="0" applyFont="1"/>
    <xf borderId="0" fillId="0" fontId="4" numFmtId="0" xfId="0" applyFont="1"/>
    <xf borderId="3" fillId="0" fontId="4" numFmtId="164" xfId="0" applyAlignment="1" applyBorder="1" applyFont="1" applyNumberFormat="1">
      <alignment horizontal="left"/>
    </xf>
    <xf borderId="1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ventura" id="{1e0ce8e3-617a-447f-8043-cda94e46b90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29" dT="2026-09-05T18:42:24.00" personId="{1e0ce8e3-617a-447f-8043-cda94e46b905}" id="{9965c77c-ddc1-4e3b-b477-a65e2d92c264}" done="0">
    <x18tc:text xml:space="preserve">Histone</x18tc:text>
  </x18tc:threadedComment>
  <x18tc:threadedComment ref="M13" dT="2026-09-05T18:42:24.00" personId="{1e0ce8e3-617a-447f-8043-cda94e46b905}" id="{bc411aab-ef4f-45f7-9d16-80b8384a319c}" done="0">
    <x18tc:text xml:space="preserve">Beatle Pos</x18tc:text>
  </x18tc:threadedComment>
  <x18tc:threadedComment ref="O13" dT="2026-09-05T18:42:24.00" personId="{1e0ce8e3-617a-447f-8043-cda94e46b905}" id="{7be9679e-2694-4fc4-90c8-8df0f494fd5b}" done="0">
    <x18tc:text xml:space="preserve">Beatle Pos</x18tc:text>
  </x18tc:threadedComment>
  <x18tc:threadedComment ref="N11" dT="2026-09-05T18:42:24.00" personId="{1e0ce8e3-617a-447f-8043-cda94e46b905}" id="{699df3e5-d229-41eb-9ff7-bdcf43633e26}" done="0">
    <x18tc:text xml:space="preserve">Beatle Pos</x18tc:text>
  </x18tc:threadedComment>
  <x18tc:threadedComment ref="H112" dT="2026-09-05T18:42:24.00" personId="{1e0ce8e3-617a-447f-8043-cda94e46b905}" id="{9621a011-a902-43b2-81cb-0f69ce542e54}" done="0">
    <x18tc:text xml:space="preserve">Revisar</x18tc:text>
  </x18tc:threadedComment>
  <x18tc:threadedComment ref="N13" dT="2026-09-05T18:42:24.00" personId="{1e0ce8e3-617a-447f-8043-cda94e46b905}" id="{8445f440-5c77-4955-a3b1-88742784a1d8}" done="1">
    <x18tc:text xml:space="preserve">Beatle Pos</x18tc:text>
  </x18tc:threadedComment>
  <x18tc:threadedComment ref="M29" dT="2026-09-05T18:42:24.00" personId="{1e0ce8e3-617a-447f-8043-cda94e46b905}" id="{8b0d9590-a3ef-4bfb-8b65-e03611aaf009}" done="0">
    <x18tc:text xml:space="preserve">Histone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.57"/>
    <col customWidth="1" min="2" max="2" width="12.29"/>
    <col customWidth="1" min="3" max="3" width="6.71"/>
    <col customWidth="1" min="4" max="4" width="11.57"/>
    <col customWidth="1" min="5" max="5" width="16.29"/>
    <col customWidth="1" min="6" max="6" width="74.57"/>
    <col customWidth="1" min="7" max="7" width="17.86"/>
    <col customWidth="1" hidden="1" min="8" max="8" width="17.86"/>
    <col customWidth="1" min="9" max="12" width="12.43"/>
    <col customWidth="1" hidden="1" min="13" max="13" width="11.57"/>
    <col customWidth="1" hidden="1" min="14" max="16" width="11.43"/>
    <col customWidth="1" hidden="1" min="17" max="17" width="12.29"/>
    <col customWidth="1" min="18" max="18" width="26.71"/>
    <col customWidth="1" min="19" max="19" width="10.71"/>
    <col customWidth="1" min="20" max="20" width="24.0"/>
    <col customWidth="1" min="21" max="21" width="14.71"/>
    <col customWidth="1" min="22" max="26" width="10.71"/>
  </cols>
  <sheetData>
    <row r="1" ht="14.25" customHeight="1">
      <c r="B1" s="1" t="s">
        <v>0</v>
      </c>
      <c r="C1" s="2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6" t="s">
        <v>9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21</v>
      </c>
      <c r="T1" s="6" t="s">
        <v>22</v>
      </c>
      <c r="U1" s="6" t="s">
        <v>23</v>
      </c>
    </row>
    <row r="2" ht="12.0" customHeight="1">
      <c r="B2" s="10" t="s">
        <v>24</v>
      </c>
      <c r="C2" s="11" t="s">
        <v>26</v>
      </c>
      <c r="D2" s="12" t="s">
        <v>27</v>
      </c>
      <c r="E2" s="14" t="s">
        <v>24</v>
      </c>
      <c r="F2" s="15" t="s">
        <v>28</v>
      </c>
      <c r="G2" s="16">
        <v>1.0</v>
      </c>
      <c r="H2" s="16">
        <v>2.0</v>
      </c>
      <c r="I2" s="16">
        <v>1.0</v>
      </c>
      <c r="J2" s="16">
        <f t="shared" ref="J2:J84" si="1">I2</f>
        <v>1</v>
      </c>
      <c r="K2" s="16">
        <f t="shared" ref="K2:K84" si="2">I2</f>
        <v>1</v>
      </c>
      <c r="L2" s="16">
        <f t="shared" ref="L2:L84" si="3">I2</f>
        <v>1</v>
      </c>
      <c r="M2" s="14" t="s">
        <v>15</v>
      </c>
      <c r="N2" s="18" t="s">
        <v>29</v>
      </c>
      <c r="O2" s="18" t="s">
        <v>29</v>
      </c>
      <c r="P2" s="18" t="s">
        <v>29</v>
      </c>
      <c r="Q2" s="18"/>
      <c r="R2" s="18" t="s">
        <v>29</v>
      </c>
      <c r="S2" s="18" t="s">
        <v>30</v>
      </c>
      <c r="T2" s="19"/>
      <c r="U2" s="19"/>
    </row>
    <row r="3" ht="15.75" customHeight="1">
      <c r="B3" s="20" t="s">
        <v>31</v>
      </c>
      <c r="C3" s="12" t="s">
        <v>32</v>
      </c>
      <c r="D3" s="12" t="s">
        <v>27</v>
      </c>
      <c r="E3" s="14" t="s">
        <v>33</v>
      </c>
      <c r="F3" s="21" t="s">
        <v>34</v>
      </c>
      <c r="G3" s="22">
        <v>2.0</v>
      </c>
      <c r="H3" s="22">
        <v>1.0</v>
      </c>
      <c r="I3" s="22">
        <v>1.0</v>
      </c>
      <c r="J3" s="16">
        <f t="shared" si="1"/>
        <v>1</v>
      </c>
      <c r="K3" s="16">
        <f t="shared" si="2"/>
        <v>1</v>
      </c>
      <c r="L3" s="16">
        <f t="shared" si="3"/>
        <v>1</v>
      </c>
      <c r="M3" s="14" t="s">
        <v>15</v>
      </c>
      <c r="N3" s="18" t="s">
        <v>29</v>
      </c>
      <c r="O3" s="18" t="s">
        <v>29</v>
      </c>
      <c r="P3" s="18" t="s">
        <v>29</v>
      </c>
      <c r="Q3" s="18" t="s">
        <v>35</v>
      </c>
      <c r="R3" s="18" t="s">
        <v>36</v>
      </c>
      <c r="S3" s="18" t="s">
        <v>30</v>
      </c>
      <c r="T3" s="19"/>
      <c r="U3" s="19"/>
    </row>
    <row r="4" ht="15.75" customHeight="1">
      <c r="B4" s="20" t="s">
        <v>37</v>
      </c>
      <c r="C4" s="12" t="s">
        <v>38</v>
      </c>
      <c r="D4" s="12" t="s">
        <v>27</v>
      </c>
      <c r="E4" s="14" t="s">
        <v>33</v>
      </c>
      <c r="F4" s="21" t="s">
        <v>39</v>
      </c>
      <c r="G4" s="22">
        <v>2.0</v>
      </c>
      <c r="H4" s="22">
        <v>1.0</v>
      </c>
      <c r="I4" s="22">
        <v>1.0</v>
      </c>
      <c r="J4" s="16">
        <f t="shared" si="1"/>
        <v>1</v>
      </c>
      <c r="K4" s="16">
        <f t="shared" si="2"/>
        <v>1</v>
      </c>
      <c r="L4" s="16">
        <f t="shared" si="3"/>
        <v>1</v>
      </c>
      <c r="M4" s="18" t="s">
        <v>15</v>
      </c>
      <c r="N4" s="18" t="s">
        <v>29</v>
      </c>
      <c r="O4" s="18" t="s">
        <v>29</v>
      </c>
      <c r="P4" s="18" t="s">
        <v>29</v>
      </c>
      <c r="Q4" s="18" t="s">
        <v>35</v>
      </c>
      <c r="R4" s="18" t="s">
        <v>36</v>
      </c>
      <c r="S4" s="18" t="s">
        <v>30</v>
      </c>
      <c r="T4" s="19"/>
      <c r="U4" s="19"/>
    </row>
    <row r="5" ht="15.75" customHeight="1">
      <c r="B5" s="20" t="s">
        <v>40</v>
      </c>
      <c r="C5" s="12" t="s">
        <v>41</v>
      </c>
      <c r="D5" s="12" t="s">
        <v>42</v>
      </c>
      <c r="E5" s="14" t="s">
        <v>33</v>
      </c>
      <c r="F5" s="21" t="s">
        <v>43</v>
      </c>
      <c r="G5" s="22">
        <v>2.0</v>
      </c>
      <c r="H5" s="22">
        <v>2.0</v>
      </c>
      <c r="I5" s="22">
        <v>2.0</v>
      </c>
      <c r="J5" s="16">
        <f t="shared" si="1"/>
        <v>2</v>
      </c>
      <c r="K5" s="16">
        <f t="shared" si="2"/>
        <v>2</v>
      </c>
      <c r="L5" s="16">
        <f t="shared" si="3"/>
        <v>2</v>
      </c>
      <c r="M5" s="18" t="s">
        <v>15</v>
      </c>
      <c r="N5" s="18" t="s">
        <v>15</v>
      </c>
      <c r="O5" s="18" t="s">
        <v>29</v>
      </c>
      <c r="P5" s="18" t="s">
        <v>29</v>
      </c>
      <c r="Q5" s="18"/>
      <c r="R5" s="18" t="s">
        <v>29</v>
      </c>
      <c r="S5" s="18" t="s">
        <v>30</v>
      </c>
      <c r="T5" s="19"/>
      <c r="U5" s="19"/>
    </row>
    <row r="6" ht="15.75" customHeight="1">
      <c r="B6" s="20" t="s">
        <v>44</v>
      </c>
      <c r="C6" s="12" t="s">
        <v>45</v>
      </c>
      <c r="D6" s="12" t="s">
        <v>42</v>
      </c>
      <c r="E6" s="14" t="s">
        <v>33</v>
      </c>
      <c r="F6" s="21" t="s">
        <v>46</v>
      </c>
      <c r="G6" s="22">
        <v>2.0</v>
      </c>
      <c r="H6" s="22">
        <v>1.0</v>
      </c>
      <c r="I6" s="22">
        <v>2.0</v>
      </c>
      <c r="J6" s="16">
        <f t="shared" si="1"/>
        <v>2</v>
      </c>
      <c r="K6" s="16">
        <f t="shared" si="2"/>
        <v>2</v>
      </c>
      <c r="L6" s="16">
        <f t="shared" si="3"/>
        <v>2</v>
      </c>
      <c r="M6" s="18" t="s">
        <v>15</v>
      </c>
      <c r="N6" s="18" t="s">
        <v>15</v>
      </c>
      <c r="O6" s="18" t="s">
        <v>29</v>
      </c>
      <c r="P6" s="18" t="s">
        <v>29</v>
      </c>
      <c r="Q6" s="18"/>
      <c r="R6" s="18" t="s">
        <v>29</v>
      </c>
      <c r="S6" s="18" t="s">
        <v>30</v>
      </c>
      <c r="T6" s="19"/>
      <c r="U6" s="19"/>
    </row>
    <row r="7" ht="15.75" customHeight="1">
      <c r="B7" s="20" t="s">
        <v>47</v>
      </c>
      <c r="C7" s="12" t="s">
        <v>48</v>
      </c>
      <c r="D7" s="12" t="s">
        <v>27</v>
      </c>
      <c r="E7" s="14" t="s">
        <v>33</v>
      </c>
      <c r="F7" s="21" t="s">
        <v>49</v>
      </c>
      <c r="G7" s="22">
        <v>2.0</v>
      </c>
      <c r="H7" s="22">
        <v>1.0</v>
      </c>
      <c r="I7" s="22">
        <v>1.0</v>
      </c>
      <c r="J7" s="16">
        <f t="shared" si="1"/>
        <v>1</v>
      </c>
      <c r="K7" s="16">
        <f t="shared" si="2"/>
        <v>1</v>
      </c>
      <c r="L7" s="16">
        <f t="shared" si="3"/>
        <v>1</v>
      </c>
      <c r="M7" s="18" t="s">
        <v>15</v>
      </c>
      <c r="N7" s="18" t="s">
        <v>29</v>
      </c>
      <c r="O7" s="18" t="s">
        <v>29</v>
      </c>
      <c r="P7" s="18" t="s">
        <v>29</v>
      </c>
      <c r="Q7" s="18"/>
      <c r="R7" s="18" t="s">
        <v>29</v>
      </c>
      <c r="S7" s="18" t="s">
        <v>30</v>
      </c>
      <c r="T7" s="9">
        <v>1.0</v>
      </c>
      <c r="U7" s="18" t="s">
        <v>50</v>
      </c>
    </row>
    <row r="8" ht="12.0" customHeight="1">
      <c r="B8" s="20" t="s">
        <v>24</v>
      </c>
      <c r="C8" s="11" t="s">
        <v>51</v>
      </c>
      <c r="D8" s="12" t="s">
        <v>27</v>
      </c>
      <c r="E8" s="14" t="s">
        <v>24</v>
      </c>
      <c r="F8" s="15" t="s">
        <v>52</v>
      </c>
      <c r="G8" s="16">
        <v>2.0</v>
      </c>
      <c r="H8" s="16">
        <v>1.0</v>
      </c>
      <c r="I8" s="16">
        <v>2.0</v>
      </c>
      <c r="J8" s="16">
        <f t="shared" si="1"/>
        <v>2</v>
      </c>
      <c r="K8" s="16">
        <f t="shared" si="2"/>
        <v>2</v>
      </c>
      <c r="L8" s="16">
        <f t="shared" si="3"/>
        <v>2</v>
      </c>
      <c r="M8" s="18" t="s">
        <v>15</v>
      </c>
      <c r="N8" s="18" t="s">
        <v>15</v>
      </c>
      <c r="O8" s="18" t="s">
        <v>29</v>
      </c>
      <c r="P8" s="18" t="s">
        <v>29</v>
      </c>
      <c r="Q8" s="18"/>
      <c r="R8" s="18" t="s">
        <v>29</v>
      </c>
      <c r="S8" s="18" t="s">
        <v>30</v>
      </c>
      <c r="T8" s="19"/>
      <c r="U8" s="19"/>
    </row>
    <row r="9" ht="12.0" customHeight="1">
      <c r="B9" s="20" t="s">
        <v>24</v>
      </c>
      <c r="C9" s="12" t="s">
        <v>53</v>
      </c>
      <c r="D9" s="12" t="s">
        <v>27</v>
      </c>
      <c r="E9" s="14" t="s">
        <v>24</v>
      </c>
      <c r="F9" s="15" t="s">
        <v>54</v>
      </c>
      <c r="G9" s="16">
        <v>1.0</v>
      </c>
      <c r="H9" s="16">
        <v>1.0</v>
      </c>
      <c r="I9" s="16">
        <v>1.0</v>
      </c>
      <c r="J9" s="16">
        <f t="shared" si="1"/>
        <v>1</v>
      </c>
      <c r="K9" s="16">
        <f t="shared" si="2"/>
        <v>1</v>
      </c>
      <c r="L9" s="16">
        <f t="shared" si="3"/>
        <v>1</v>
      </c>
      <c r="M9" s="18" t="s">
        <v>15</v>
      </c>
      <c r="N9" s="18" t="s">
        <v>29</v>
      </c>
      <c r="O9" s="18" t="s">
        <v>29</v>
      </c>
      <c r="P9" s="18" t="s">
        <v>29</v>
      </c>
      <c r="Q9" s="18"/>
      <c r="R9" s="18" t="s">
        <v>29</v>
      </c>
      <c r="S9" s="18" t="s">
        <v>30</v>
      </c>
      <c r="T9" s="19"/>
      <c r="U9" s="19"/>
    </row>
    <row r="10" ht="15.75" customHeight="1">
      <c r="B10" s="20" t="s">
        <v>55</v>
      </c>
      <c r="C10" s="12" t="s">
        <v>56</v>
      </c>
      <c r="D10" s="12" t="s">
        <v>27</v>
      </c>
      <c r="E10" s="14" t="s">
        <v>33</v>
      </c>
      <c r="F10" s="21" t="s">
        <v>57</v>
      </c>
      <c r="G10" s="22">
        <v>1.0</v>
      </c>
      <c r="H10" s="22">
        <v>1.0</v>
      </c>
      <c r="I10" s="22">
        <v>1.0</v>
      </c>
      <c r="J10" s="16">
        <f t="shared" si="1"/>
        <v>1</v>
      </c>
      <c r="K10" s="16">
        <f t="shared" si="2"/>
        <v>1</v>
      </c>
      <c r="L10" s="16">
        <f t="shared" si="3"/>
        <v>1</v>
      </c>
      <c r="M10" s="18" t="s">
        <v>15</v>
      </c>
      <c r="N10" s="18" t="s">
        <v>29</v>
      </c>
      <c r="O10" s="18" t="s">
        <v>29</v>
      </c>
      <c r="P10" s="18" t="s">
        <v>29</v>
      </c>
      <c r="Q10" s="18"/>
      <c r="R10" s="18" t="s">
        <v>29</v>
      </c>
      <c r="S10" s="18" t="s">
        <v>30</v>
      </c>
      <c r="T10" s="19"/>
      <c r="U10" s="19"/>
    </row>
    <row r="11" ht="12.0" customHeight="1">
      <c r="B11" s="20" t="s">
        <v>24</v>
      </c>
      <c r="C11" s="12" t="s">
        <v>58</v>
      </c>
      <c r="D11" s="12" t="s">
        <v>27</v>
      </c>
      <c r="E11" s="14" t="s">
        <v>24</v>
      </c>
      <c r="F11" s="15" t="s">
        <v>59</v>
      </c>
      <c r="G11" s="16">
        <v>2.0</v>
      </c>
      <c r="H11" s="16">
        <v>0.0</v>
      </c>
      <c r="I11" s="16">
        <v>2.0</v>
      </c>
      <c r="J11" s="16">
        <f t="shared" si="1"/>
        <v>2</v>
      </c>
      <c r="K11" s="16">
        <f t="shared" si="2"/>
        <v>2</v>
      </c>
      <c r="L11" s="16">
        <f t="shared" si="3"/>
        <v>2</v>
      </c>
      <c r="M11" s="18" t="s">
        <v>15</v>
      </c>
      <c r="N11" s="18" t="s">
        <v>15</v>
      </c>
      <c r="O11" s="18" t="s">
        <v>29</v>
      </c>
      <c r="P11" s="18" t="s">
        <v>29</v>
      </c>
      <c r="Q11" s="18"/>
      <c r="R11" s="18" t="s">
        <v>29</v>
      </c>
      <c r="S11" s="18" t="s">
        <v>30</v>
      </c>
      <c r="T11" s="19"/>
      <c r="U11" s="19"/>
    </row>
    <row r="12" ht="12.0" customHeight="1">
      <c r="B12" s="23" t="s">
        <v>24</v>
      </c>
      <c r="C12" s="11" t="s">
        <v>60</v>
      </c>
      <c r="D12" s="12" t="s">
        <v>27</v>
      </c>
      <c r="E12" s="14" t="s">
        <v>24</v>
      </c>
      <c r="F12" s="24" t="s">
        <v>61</v>
      </c>
      <c r="G12" s="16">
        <v>2.0</v>
      </c>
      <c r="H12" s="16">
        <v>2.0</v>
      </c>
      <c r="I12" s="16">
        <v>2.0</v>
      </c>
      <c r="J12" s="16">
        <f t="shared" si="1"/>
        <v>2</v>
      </c>
      <c r="K12" s="16">
        <f t="shared" si="2"/>
        <v>2</v>
      </c>
      <c r="L12" s="16">
        <f t="shared" si="3"/>
        <v>2</v>
      </c>
      <c r="M12" s="18" t="s">
        <v>15</v>
      </c>
      <c r="N12" s="18" t="s">
        <v>15</v>
      </c>
      <c r="O12" s="18" t="s">
        <v>29</v>
      </c>
      <c r="P12" s="18" t="s">
        <v>29</v>
      </c>
      <c r="Q12" s="18"/>
      <c r="R12" s="18" t="s">
        <v>29</v>
      </c>
      <c r="S12" s="18" t="s">
        <v>30</v>
      </c>
      <c r="T12" s="19"/>
      <c r="U12" s="19"/>
    </row>
    <row r="13" ht="12.0" customHeight="1">
      <c r="B13" s="23" t="s">
        <v>24</v>
      </c>
      <c r="C13" s="11" t="s">
        <v>62</v>
      </c>
      <c r="D13" s="11" t="s">
        <v>42</v>
      </c>
      <c r="E13" s="14" t="s">
        <v>24</v>
      </c>
      <c r="F13" s="15" t="s">
        <v>63</v>
      </c>
      <c r="G13" s="16">
        <v>4.0</v>
      </c>
      <c r="H13" s="16">
        <v>3.0</v>
      </c>
      <c r="I13" s="16">
        <v>3.0</v>
      </c>
      <c r="J13" s="16">
        <f t="shared" si="1"/>
        <v>3</v>
      </c>
      <c r="K13" s="16">
        <f t="shared" si="2"/>
        <v>3</v>
      </c>
      <c r="L13" s="16">
        <f t="shared" si="3"/>
        <v>3</v>
      </c>
      <c r="M13" s="18" t="s">
        <v>15</v>
      </c>
      <c r="N13" s="18" t="s">
        <v>15</v>
      </c>
      <c r="O13" s="18" t="s">
        <v>15</v>
      </c>
      <c r="P13" s="18" t="s">
        <v>29</v>
      </c>
      <c r="Q13" s="18"/>
      <c r="R13" s="18" t="s">
        <v>36</v>
      </c>
      <c r="S13" s="18" t="s">
        <v>30</v>
      </c>
      <c r="T13" s="19"/>
      <c r="U13" s="19"/>
    </row>
    <row r="14" ht="15.75" customHeight="1">
      <c r="B14" s="20" t="s">
        <v>64</v>
      </c>
      <c r="C14" s="12" t="s">
        <v>65</v>
      </c>
      <c r="D14" s="12" t="s">
        <v>42</v>
      </c>
      <c r="E14" s="14" t="s">
        <v>33</v>
      </c>
      <c r="F14" s="21" t="s">
        <v>66</v>
      </c>
      <c r="G14" s="22">
        <v>2.0</v>
      </c>
      <c r="H14" s="22">
        <v>1.0</v>
      </c>
      <c r="I14" s="22">
        <v>2.0</v>
      </c>
      <c r="J14" s="16">
        <f t="shared" si="1"/>
        <v>2</v>
      </c>
      <c r="K14" s="16">
        <f t="shared" si="2"/>
        <v>2</v>
      </c>
      <c r="L14" s="16">
        <f t="shared" si="3"/>
        <v>2</v>
      </c>
      <c r="M14" s="18" t="s">
        <v>15</v>
      </c>
      <c r="N14" s="18" t="s">
        <v>15</v>
      </c>
      <c r="O14" s="18" t="s">
        <v>29</v>
      </c>
      <c r="P14" s="18" t="s">
        <v>29</v>
      </c>
      <c r="Q14" s="18"/>
      <c r="R14" s="18" t="s">
        <v>29</v>
      </c>
      <c r="S14" s="18" t="s">
        <v>30</v>
      </c>
      <c r="T14" s="19"/>
      <c r="U14" s="19"/>
    </row>
    <row r="15" ht="15.75" customHeight="1">
      <c r="B15" s="20" t="s">
        <v>67</v>
      </c>
      <c r="C15" s="12" t="s">
        <v>68</v>
      </c>
      <c r="D15" s="12" t="s">
        <v>27</v>
      </c>
      <c r="E15" s="14" t="s">
        <v>33</v>
      </c>
      <c r="F15" s="21" t="s">
        <v>69</v>
      </c>
      <c r="G15" s="22">
        <v>2.0</v>
      </c>
      <c r="H15" s="22">
        <v>1.0</v>
      </c>
      <c r="I15" s="22">
        <v>1.0</v>
      </c>
      <c r="J15" s="16">
        <f t="shared" si="1"/>
        <v>1</v>
      </c>
      <c r="K15" s="16">
        <f t="shared" si="2"/>
        <v>1</v>
      </c>
      <c r="L15" s="16">
        <f t="shared" si="3"/>
        <v>1</v>
      </c>
      <c r="M15" s="18" t="s">
        <v>15</v>
      </c>
      <c r="N15" s="18" t="s">
        <v>29</v>
      </c>
      <c r="O15" s="18" t="s">
        <v>29</v>
      </c>
      <c r="P15" s="18" t="s">
        <v>29</v>
      </c>
      <c r="Q15" s="18" t="s">
        <v>35</v>
      </c>
      <c r="R15" s="18" t="s">
        <v>36</v>
      </c>
      <c r="S15" s="18" t="s">
        <v>30</v>
      </c>
      <c r="T15" s="19"/>
      <c r="U15" s="19"/>
    </row>
    <row r="16" ht="12.0" customHeight="1">
      <c r="B16" s="20" t="s">
        <v>24</v>
      </c>
      <c r="C16" s="11" t="s">
        <v>70</v>
      </c>
      <c r="D16" s="12" t="s">
        <v>27</v>
      </c>
      <c r="E16" s="14" t="s">
        <v>24</v>
      </c>
      <c r="F16" s="15" t="s">
        <v>71</v>
      </c>
      <c r="G16" s="16">
        <v>2.0</v>
      </c>
      <c r="H16" s="16">
        <v>2.0</v>
      </c>
      <c r="I16" s="16">
        <v>2.0</v>
      </c>
      <c r="J16" s="16">
        <f t="shared" si="1"/>
        <v>2</v>
      </c>
      <c r="K16" s="16">
        <f t="shared" si="2"/>
        <v>2</v>
      </c>
      <c r="L16" s="16">
        <f t="shared" si="3"/>
        <v>2</v>
      </c>
      <c r="M16" s="18" t="s">
        <v>15</v>
      </c>
      <c r="N16" s="18" t="s">
        <v>15</v>
      </c>
      <c r="O16" s="18" t="s">
        <v>29</v>
      </c>
      <c r="P16" s="18" t="s">
        <v>29</v>
      </c>
      <c r="Q16" s="18"/>
      <c r="R16" s="18" t="s">
        <v>29</v>
      </c>
      <c r="S16" s="18" t="s">
        <v>30</v>
      </c>
      <c r="T16" s="19"/>
      <c r="U16" s="19"/>
    </row>
    <row r="17" ht="15.75" customHeight="1">
      <c r="B17" s="20" t="s">
        <v>40</v>
      </c>
      <c r="C17" s="12" t="s">
        <v>72</v>
      </c>
      <c r="D17" s="12" t="s">
        <v>27</v>
      </c>
      <c r="E17" s="14" t="s">
        <v>33</v>
      </c>
      <c r="F17" s="25" t="s">
        <v>73</v>
      </c>
      <c r="G17" s="22">
        <v>2.0</v>
      </c>
      <c r="H17" s="22">
        <v>1.0</v>
      </c>
      <c r="I17" s="22">
        <v>1.0</v>
      </c>
      <c r="J17" s="16">
        <f t="shared" si="1"/>
        <v>1</v>
      </c>
      <c r="K17" s="16">
        <f t="shared" si="2"/>
        <v>1</v>
      </c>
      <c r="L17" s="16">
        <f t="shared" si="3"/>
        <v>1</v>
      </c>
      <c r="M17" s="18" t="s">
        <v>15</v>
      </c>
      <c r="N17" s="18" t="s">
        <v>29</v>
      </c>
      <c r="O17" s="18" t="s">
        <v>29</v>
      </c>
      <c r="P17" s="18" t="s">
        <v>29</v>
      </c>
      <c r="Q17" s="18"/>
      <c r="R17" s="18" t="s">
        <v>29</v>
      </c>
      <c r="S17" s="18" t="s">
        <v>30</v>
      </c>
      <c r="T17" s="9">
        <v>1.0</v>
      </c>
      <c r="U17" s="18" t="s">
        <v>50</v>
      </c>
    </row>
    <row r="18" ht="15.75" customHeight="1">
      <c r="B18" s="20" t="s">
        <v>74</v>
      </c>
      <c r="C18" s="12" t="s">
        <v>75</v>
      </c>
      <c r="D18" s="12" t="s">
        <v>27</v>
      </c>
      <c r="E18" s="14" t="s">
        <v>33</v>
      </c>
      <c r="F18" s="25" t="s">
        <v>76</v>
      </c>
      <c r="G18" s="22">
        <v>2.0</v>
      </c>
      <c r="H18" s="22">
        <v>1.0</v>
      </c>
      <c r="I18" s="22">
        <v>1.0</v>
      </c>
      <c r="J18" s="16">
        <f t="shared" si="1"/>
        <v>1</v>
      </c>
      <c r="K18" s="16">
        <f t="shared" si="2"/>
        <v>1</v>
      </c>
      <c r="L18" s="16">
        <f t="shared" si="3"/>
        <v>1</v>
      </c>
      <c r="M18" s="18" t="s">
        <v>15</v>
      </c>
      <c r="N18" s="18" t="s">
        <v>29</v>
      </c>
      <c r="O18" s="18" t="s">
        <v>29</v>
      </c>
      <c r="P18" s="18" t="s">
        <v>29</v>
      </c>
      <c r="Q18" s="18"/>
      <c r="R18" s="18" t="s">
        <v>29</v>
      </c>
      <c r="S18" s="18" t="s">
        <v>30</v>
      </c>
      <c r="T18" s="9">
        <v>1.0</v>
      </c>
      <c r="U18" s="18" t="s">
        <v>50</v>
      </c>
    </row>
    <row r="19" ht="15.75" customHeight="1">
      <c r="B19" s="20" t="s">
        <v>77</v>
      </c>
      <c r="C19" s="12" t="s">
        <v>78</v>
      </c>
      <c r="D19" s="12" t="s">
        <v>27</v>
      </c>
      <c r="E19" s="14" t="s">
        <v>33</v>
      </c>
      <c r="F19" s="21" t="s">
        <v>79</v>
      </c>
      <c r="G19" s="22">
        <v>1.0</v>
      </c>
      <c r="H19" s="22">
        <v>1.0</v>
      </c>
      <c r="I19" s="22">
        <v>1.0</v>
      </c>
      <c r="J19" s="16">
        <f t="shared" si="1"/>
        <v>1</v>
      </c>
      <c r="K19" s="16">
        <f t="shared" si="2"/>
        <v>1</v>
      </c>
      <c r="L19" s="16">
        <f t="shared" si="3"/>
        <v>1</v>
      </c>
      <c r="M19" s="18" t="s">
        <v>15</v>
      </c>
      <c r="N19" s="18" t="s">
        <v>29</v>
      </c>
      <c r="O19" s="18" t="s">
        <v>29</v>
      </c>
      <c r="P19" s="18" t="s">
        <v>29</v>
      </c>
      <c r="Q19" s="18"/>
      <c r="R19" s="18" t="s">
        <v>29</v>
      </c>
      <c r="S19" s="18" t="s">
        <v>30</v>
      </c>
      <c r="T19" s="19"/>
      <c r="U19" s="19"/>
    </row>
    <row r="20" ht="15.75" customHeight="1">
      <c r="B20" s="20" t="s">
        <v>80</v>
      </c>
      <c r="C20" s="12" t="s">
        <v>81</v>
      </c>
      <c r="D20" s="12" t="s">
        <v>27</v>
      </c>
      <c r="E20" s="14" t="s">
        <v>33</v>
      </c>
      <c r="F20" s="21" t="s">
        <v>82</v>
      </c>
      <c r="G20" s="22">
        <v>2.0</v>
      </c>
      <c r="H20" s="22">
        <v>1.0</v>
      </c>
      <c r="I20" s="22">
        <v>1.0</v>
      </c>
      <c r="J20" s="16">
        <f t="shared" si="1"/>
        <v>1</v>
      </c>
      <c r="K20" s="16">
        <f t="shared" si="2"/>
        <v>1</v>
      </c>
      <c r="L20" s="16">
        <f t="shared" si="3"/>
        <v>1</v>
      </c>
      <c r="M20" s="18" t="s">
        <v>15</v>
      </c>
      <c r="N20" s="18" t="s">
        <v>29</v>
      </c>
      <c r="O20" s="18" t="s">
        <v>29</v>
      </c>
      <c r="P20" s="18" t="s">
        <v>29</v>
      </c>
      <c r="Q20" s="18" t="s">
        <v>35</v>
      </c>
      <c r="R20" s="18" t="s">
        <v>36</v>
      </c>
      <c r="S20" s="18" t="s">
        <v>30</v>
      </c>
      <c r="T20" s="19"/>
      <c r="U20" s="19"/>
    </row>
    <row r="21" ht="15.75" customHeight="1">
      <c r="B21" s="20" t="s">
        <v>83</v>
      </c>
      <c r="C21" s="12" t="s">
        <v>84</v>
      </c>
      <c r="D21" s="12" t="s">
        <v>42</v>
      </c>
      <c r="E21" s="14" t="s">
        <v>33</v>
      </c>
      <c r="F21" s="21" t="s">
        <v>85</v>
      </c>
      <c r="G21" s="22">
        <v>1.0</v>
      </c>
      <c r="H21" s="22">
        <v>2.0</v>
      </c>
      <c r="I21" s="22">
        <v>1.0</v>
      </c>
      <c r="J21" s="16">
        <f t="shared" si="1"/>
        <v>1</v>
      </c>
      <c r="K21" s="16">
        <f t="shared" si="2"/>
        <v>1</v>
      </c>
      <c r="L21" s="16">
        <f t="shared" si="3"/>
        <v>1</v>
      </c>
      <c r="M21" s="18" t="s">
        <v>15</v>
      </c>
      <c r="N21" s="18" t="s">
        <v>29</v>
      </c>
      <c r="O21" s="18" t="s">
        <v>29</v>
      </c>
      <c r="P21" s="18" t="s">
        <v>29</v>
      </c>
      <c r="Q21" s="18"/>
      <c r="R21" s="18" t="s">
        <v>29</v>
      </c>
      <c r="S21" s="18" t="s">
        <v>30</v>
      </c>
      <c r="T21" s="19"/>
      <c r="U21" s="19"/>
    </row>
    <row r="22" ht="15.75" customHeight="1">
      <c r="B22" s="20" t="s">
        <v>86</v>
      </c>
      <c r="C22" s="12" t="s">
        <v>87</v>
      </c>
      <c r="D22" s="12" t="s">
        <v>27</v>
      </c>
      <c r="E22" s="14" t="s">
        <v>33</v>
      </c>
      <c r="F22" s="21" t="s">
        <v>88</v>
      </c>
      <c r="G22" s="22">
        <v>2.0</v>
      </c>
      <c r="H22" s="22">
        <v>1.0</v>
      </c>
      <c r="I22" s="22">
        <v>1.0</v>
      </c>
      <c r="J22" s="16">
        <f t="shared" si="1"/>
        <v>1</v>
      </c>
      <c r="K22" s="16">
        <f t="shared" si="2"/>
        <v>1</v>
      </c>
      <c r="L22" s="16">
        <f t="shared" si="3"/>
        <v>1</v>
      </c>
      <c r="M22" s="18" t="s">
        <v>15</v>
      </c>
      <c r="N22" s="18" t="s">
        <v>29</v>
      </c>
      <c r="O22" s="18" t="s">
        <v>29</v>
      </c>
      <c r="P22" s="18" t="s">
        <v>29</v>
      </c>
      <c r="Q22" s="18"/>
      <c r="R22" s="18" t="s">
        <v>29</v>
      </c>
      <c r="S22" s="18" t="s">
        <v>30</v>
      </c>
      <c r="T22" s="9">
        <v>1.0</v>
      </c>
      <c r="U22" s="18" t="s">
        <v>50</v>
      </c>
    </row>
    <row r="23" ht="12.0" customHeight="1">
      <c r="B23" s="20" t="s">
        <v>24</v>
      </c>
      <c r="C23" s="12" t="s">
        <v>89</v>
      </c>
      <c r="D23" s="12" t="s">
        <v>90</v>
      </c>
      <c r="E23" s="14" t="s">
        <v>24</v>
      </c>
      <c r="F23" s="24" t="s">
        <v>91</v>
      </c>
      <c r="G23" s="16">
        <v>4.0</v>
      </c>
      <c r="H23" s="16">
        <v>4.0</v>
      </c>
      <c r="I23" s="16">
        <v>3.0</v>
      </c>
      <c r="J23" s="16">
        <f t="shared" si="1"/>
        <v>3</v>
      </c>
      <c r="K23" s="16">
        <f t="shared" si="2"/>
        <v>3</v>
      </c>
      <c r="L23" s="16">
        <f t="shared" si="3"/>
        <v>3</v>
      </c>
      <c r="M23" s="18" t="s">
        <v>15</v>
      </c>
      <c r="N23" s="18" t="s">
        <v>15</v>
      </c>
      <c r="O23" s="18" t="s">
        <v>15</v>
      </c>
      <c r="P23" s="18" t="s">
        <v>29</v>
      </c>
      <c r="Q23" s="18"/>
      <c r="R23" s="18" t="s">
        <v>36</v>
      </c>
      <c r="S23" s="18" t="s">
        <v>30</v>
      </c>
      <c r="T23" s="19"/>
      <c r="U23" s="19"/>
    </row>
    <row r="24" ht="12.0" customHeight="1">
      <c r="B24" s="20" t="s">
        <v>24</v>
      </c>
      <c r="C24" s="11" t="s">
        <v>92</v>
      </c>
      <c r="D24" s="12" t="s">
        <v>27</v>
      </c>
      <c r="E24" s="14" t="s">
        <v>24</v>
      </c>
      <c r="F24" s="15" t="s">
        <v>93</v>
      </c>
      <c r="G24" s="16">
        <v>2.0</v>
      </c>
      <c r="H24" s="16">
        <v>1.0</v>
      </c>
      <c r="I24" s="16">
        <v>2.0</v>
      </c>
      <c r="J24" s="16">
        <f t="shared" si="1"/>
        <v>2</v>
      </c>
      <c r="K24" s="16">
        <f t="shared" si="2"/>
        <v>2</v>
      </c>
      <c r="L24" s="16">
        <f t="shared" si="3"/>
        <v>2</v>
      </c>
      <c r="M24" s="18" t="s">
        <v>15</v>
      </c>
      <c r="N24" s="18" t="s">
        <v>29</v>
      </c>
      <c r="O24" s="18" t="s">
        <v>29</v>
      </c>
      <c r="P24" s="26" t="s">
        <v>29</v>
      </c>
      <c r="Q24" s="26"/>
      <c r="R24" s="18" t="s">
        <v>29</v>
      </c>
      <c r="S24" s="18" t="s">
        <v>30</v>
      </c>
      <c r="T24" s="19"/>
      <c r="U24" s="19"/>
    </row>
    <row r="25" ht="12.0" customHeight="1">
      <c r="B25" s="20" t="s">
        <v>24</v>
      </c>
      <c r="C25" s="11" t="s">
        <v>94</v>
      </c>
      <c r="D25" s="12" t="s">
        <v>27</v>
      </c>
      <c r="E25" s="14" t="s">
        <v>24</v>
      </c>
      <c r="F25" s="15" t="s">
        <v>95</v>
      </c>
      <c r="G25" s="16">
        <v>2.0</v>
      </c>
      <c r="H25" s="16">
        <v>1.0</v>
      </c>
      <c r="I25" s="16">
        <v>2.0</v>
      </c>
      <c r="J25" s="16">
        <f t="shared" si="1"/>
        <v>2</v>
      </c>
      <c r="K25" s="16">
        <f t="shared" si="2"/>
        <v>2</v>
      </c>
      <c r="L25" s="16">
        <f t="shared" si="3"/>
        <v>2</v>
      </c>
      <c r="M25" s="18" t="s">
        <v>15</v>
      </c>
      <c r="N25" s="18" t="s">
        <v>15</v>
      </c>
      <c r="O25" s="18" t="s">
        <v>29</v>
      </c>
      <c r="P25" s="18" t="s">
        <v>29</v>
      </c>
      <c r="Q25" s="18"/>
      <c r="R25" s="18" t="s">
        <v>29</v>
      </c>
      <c r="S25" s="18" t="s">
        <v>30</v>
      </c>
      <c r="T25" s="19"/>
      <c r="U25" s="19"/>
    </row>
    <row r="26" ht="12.0" customHeight="1">
      <c r="B26" s="20" t="s">
        <v>24</v>
      </c>
      <c r="C26" s="11" t="s">
        <v>96</v>
      </c>
      <c r="D26" s="12" t="s">
        <v>27</v>
      </c>
      <c r="E26" s="14" t="s">
        <v>24</v>
      </c>
      <c r="F26" s="15" t="s">
        <v>97</v>
      </c>
      <c r="G26" s="16">
        <v>2.0</v>
      </c>
      <c r="H26" s="16">
        <v>1.0</v>
      </c>
      <c r="I26" s="16">
        <v>2.0</v>
      </c>
      <c r="J26" s="16">
        <f t="shared" si="1"/>
        <v>2</v>
      </c>
      <c r="K26" s="16">
        <f t="shared" si="2"/>
        <v>2</v>
      </c>
      <c r="L26" s="16">
        <f t="shared" si="3"/>
        <v>2</v>
      </c>
      <c r="M26" s="18" t="s">
        <v>15</v>
      </c>
      <c r="N26" s="18" t="s">
        <v>15</v>
      </c>
      <c r="O26" s="18" t="s">
        <v>29</v>
      </c>
      <c r="P26" s="18" t="s">
        <v>29</v>
      </c>
      <c r="Q26" s="18"/>
      <c r="R26" s="18" t="s">
        <v>29</v>
      </c>
      <c r="S26" s="18" t="s">
        <v>30</v>
      </c>
      <c r="T26" s="19"/>
      <c r="U26" s="19"/>
    </row>
    <row r="27" ht="12.0" customHeight="1">
      <c r="B27" s="20" t="s">
        <v>98</v>
      </c>
      <c r="C27" s="11" t="s">
        <v>99</v>
      </c>
      <c r="D27" s="12" t="s">
        <v>27</v>
      </c>
      <c r="E27" s="14" t="s">
        <v>33</v>
      </c>
      <c r="F27" s="15" t="s">
        <v>100</v>
      </c>
      <c r="G27" s="16">
        <v>2.0</v>
      </c>
      <c r="H27" s="16">
        <v>1.0</v>
      </c>
      <c r="I27" s="16">
        <v>2.0</v>
      </c>
      <c r="J27" s="16">
        <f t="shared" si="1"/>
        <v>2</v>
      </c>
      <c r="K27" s="16">
        <f t="shared" si="2"/>
        <v>2</v>
      </c>
      <c r="L27" s="16">
        <f t="shared" si="3"/>
        <v>2</v>
      </c>
      <c r="M27" s="18" t="s">
        <v>15</v>
      </c>
      <c r="N27" s="18" t="s">
        <v>15</v>
      </c>
      <c r="O27" s="18" t="s">
        <v>29</v>
      </c>
      <c r="P27" s="18" t="s">
        <v>29</v>
      </c>
      <c r="Q27" s="18"/>
      <c r="R27" s="18" t="s">
        <v>29</v>
      </c>
      <c r="S27" s="18" t="s">
        <v>30</v>
      </c>
      <c r="T27" s="19"/>
      <c r="U27" s="19"/>
    </row>
    <row r="28" ht="12.0" customHeight="1">
      <c r="B28" s="20" t="s">
        <v>24</v>
      </c>
      <c r="C28" s="11" t="s">
        <v>101</v>
      </c>
      <c r="D28" s="12" t="s">
        <v>27</v>
      </c>
      <c r="E28" s="14" t="s">
        <v>24</v>
      </c>
      <c r="F28" s="15" t="s">
        <v>102</v>
      </c>
      <c r="G28" s="16">
        <v>2.0</v>
      </c>
      <c r="H28" s="16">
        <v>1.0</v>
      </c>
      <c r="I28" s="16">
        <v>2.0</v>
      </c>
      <c r="J28" s="16">
        <f t="shared" si="1"/>
        <v>2</v>
      </c>
      <c r="K28" s="16">
        <f t="shared" si="2"/>
        <v>2</v>
      </c>
      <c r="L28" s="16">
        <f t="shared" si="3"/>
        <v>2</v>
      </c>
      <c r="M28" s="18" t="s">
        <v>15</v>
      </c>
      <c r="N28" s="18" t="s">
        <v>15</v>
      </c>
      <c r="O28" s="18" t="s">
        <v>29</v>
      </c>
      <c r="P28" s="18" t="s">
        <v>29</v>
      </c>
      <c r="Q28" s="18"/>
      <c r="R28" s="18" t="s">
        <v>29</v>
      </c>
      <c r="S28" s="18" t="s">
        <v>30</v>
      </c>
      <c r="T28" s="19"/>
      <c r="U28" s="19"/>
    </row>
    <row r="29" ht="12.0" customHeight="1">
      <c r="B29" s="20" t="s">
        <v>24</v>
      </c>
      <c r="C29" s="11" t="s">
        <v>103</v>
      </c>
      <c r="D29" s="12" t="s">
        <v>27</v>
      </c>
      <c r="E29" s="14" t="s">
        <v>24</v>
      </c>
      <c r="F29" s="15" t="s">
        <v>104</v>
      </c>
      <c r="G29" s="16">
        <v>2.0</v>
      </c>
      <c r="H29" s="16">
        <v>1.0</v>
      </c>
      <c r="I29" s="16">
        <v>2.0</v>
      </c>
      <c r="J29" s="16">
        <f t="shared" si="1"/>
        <v>2</v>
      </c>
      <c r="K29" s="16">
        <f t="shared" si="2"/>
        <v>2</v>
      </c>
      <c r="L29" s="16">
        <f t="shared" si="3"/>
        <v>2</v>
      </c>
      <c r="M29" s="18" t="s">
        <v>15</v>
      </c>
      <c r="N29" s="18" t="s">
        <v>15</v>
      </c>
      <c r="O29" s="18" t="s">
        <v>29</v>
      </c>
      <c r="P29" s="18" t="s">
        <v>29</v>
      </c>
      <c r="Q29" s="18"/>
      <c r="R29" s="18" t="s">
        <v>29</v>
      </c>
      <c r="S29" s="18" t="s">
        <v>30</v>
      </c>
      <c r="T29" s="19"/>
      <c r="U29" s="19"/>
    </row>
    <row r="30" ht="12.0" customHeight="1">
      <c r="B30" s="20" t="s">
        <v>24</v>
      </c>
      <c r="C30" s="11" t="s">
        <v>105</v>
      </c>
      <c r="D30" s="12" t="s">
        <v>27</v>
      </c>
      <c r="E30" s="14" t="s">
        <v>24</v>
      </c>
      <c r="F30" s="15" t="s">
        <v>106</v>
      </c>
      <c r="G30" s="16">
        <v>2.0</v>
      </c>
      <c r="H30" s="16">
        <v>1.0</v>
      </c>
      <c r="I30" s="16">
        <v>2.0</v>
      </c>
      <c r="J30" s="16">
        <f t="shared" si="1"/>
        <v>2</v>
      </c>
      <c r="K30" s="16">
        <f t="shared" si="2"/>
        <v>2</v>
      </c>
      <c r="L30" s="16">
        <f t="shared" si="3"/>
        <v>2</v>
      </c>
      <c r="M30" s="18" t="s">
        <v>15</v>
      </c>
      <c r="N30" s="18" t="s">
        <v>15</v>
      </c>
      <c r="O30" s="18" t="s">
        <v>29</v>
      </c>
      <c r="P30" s="18" t="s">
        <v>29</v>
      </c>
      <c r="Q30" s="18"/>
      <c r="R30" s="18" t="s">
        <v>29</v>
      </c>
      <c r="S30" s="18" t="s">
        <v>30</v>
      </c>
      <c r="T30" s="19"/>
      <c r="U30" s="19"/>
    </row>
    <row r="31" ht="12.0" customHeight="1">
      <c r="B31" s="20" t="s">
        <v>107</v>
      </c>
      <c r="C31" s="11" t="s">
        <v>108</v>
      </c>
      <c r="D31" s="12" t="s">
        <v>27</v>
      </c>
      <c r="E31" s="14" t="s">
        <v>33</v>
      </c>
      <c r="F31" s="15" t="s">
        <v>109</v>
      </c>
      <c r="G31" s="16">
        <v>2.0</v>
      </c>
      <c r="H31" s="16">
        <v>1.0</v>
      </c>
      <c r="I31" s="16">
        <v>2.0</v>
      </c>
      <c r="J31" s="16">
        <f t="shared" si="1"/>
        <v>2</v>
      </c>
      <c r="K31" s="16">
        <f t="shared" si="2"/>
        <v>2</v>
      </c>
      <c r="L31" s="16">
        <f t="shared" si="3"/>
        <v>2</v>
      </c>
      <c r="M31" s="18" t="s">
        <v>15</v>
      </c>
      <c r="N31" s="18" t="s">
        <v>15</v>
      </c>
      <c r="O31" s="18" t="s">
        <v>29</v>
      </c>
      <c r="P31" s="18" t="s">
        <v>29</v>
      </c>
      <c r="Q31" s="18"/>
      <c r="R31" s="18" t="s">
        <v>29</v>
      </c>
      <c r="S31" s="18" t="s">
        <v>30</v>
      </c>
      <c r="T31" s="19"/>
      <c r="U31" s="19"/>
    </row>
    <row r="32" ht="12.0" customHeight="1">
      <c r="B32" s="20" t="s">
        <v>44</v>
      </c>
      <c r="C32" s="11" t="s">
        <v>110</v>
      </c>
      <c r="D32" s="12" t="s">
        <v>27</v>
      </c>
      <c r="E32" s="14" t="s">
        <v>33</v>
      </c>
      <c r="F32" s="15" t="s">
        <v>111</v>
      </c>
      <c r="G32" s="16">
        <v>2.0</v>
      </c>
      <c r="H32" s="16">
        <v>1.0</v>
      </c>
      <c r="I32" s="16">
        <v>2.0</v>
      </c>
      <c r="J32" s="16">
        <f t="shared" si="1"/>
        <v>2</v>
      </c>
      <c r="K32" s="16">
        <f t="shared" si="2"/>
        <v>2</v>
      </c>
      <c r="L32" s="16">
        <f t="shared" si="3"/>
        <v>2</v>
      </c>
      <c r="M32" s="18" t="s">
        <v>15</v>
      </c>
      <c r="N32" s="18" t="s">
        <v>15</v>
      </c>
      <c r="O32" s="18"/>
      <c r="P32" s="18"/>
      <c r="Q32" s="18"/>
      <c r="R32" s="18" t="s">
        <v>29</v>
      </c>
      <c r="S32" s="18" t="s">
        <v>30</v>
      </c>
      <c r="T32" s="19"/>
      <c r="U32" s="19"/>
    </row>
    <row r="33" ht="12.0" customHeight="1">
      <c r="B33" s="20" t="s">
        <v>24</v>
      </c>
      <c r="C33" s="11" t="s">
        <v>112</v>
      </c>
      <c r="D33" s="12" t="s">
        <v>27</v>
      </c>
      <c r="E33" s="14" t="s">
        <v>24</v>
      </c>
      <c r="F33" s="15" t="s">
        <v>113</v>
      </c>
      <c r="G33" s="16">
        <v>1.0</v>
      </c>
      <c r="H33" s="16">
        <v>1.0</v>
      </c>
      <c r="I33" s="16">
        <v>1.0</v>
      </c>
      <c r="J33" s="16">
        <f t="shared" si="1"/>
        <v>1</v>
      </c>
      <c r="K33" s="16">
        <f t="shared" si="2"/>
        <v>1</v>
      </c>
      <c r="L33" s="16">
        <f t="shared" si="3"/>
        <v>1</v>
      </c>
      <c r="M33" s="18"/>
      <c r="N33" s="18"/>
      <c r="O33" s="18"/>
      <c r="P33" s="18"/>
      <c r="Q33" s="18"/>
      <c r="R33" s="18" t="s">
        <v>29</v>
      </c>
      <c r="S33" s="18" t="s">
        <v>30</v>
      </c>
      <c r="T33" s="19"/>
      <c r="U33" s="19"/>
    </row>
    <row r="34" ht="12.0" customHeight="1">
      <c r="B34" s="20" t="s">
        <v>24</v>
      </c>
      <c r="C34" s="11" t="s">
        <v>114</v>
      </c>
      <c r="D34" s="12" t="s">
        <v>27</v>
      </c>
      <c r="E34" s="14" t="s">
        <v>24</v>
      </c>
      <c r="F34" s="15" t="s">
        <v>115</v>
      </c>
      <c r="G34" s="16">
        <v>2.0</v>
      </c>
      <c r="H34" s="16">
        <v>1.0</v>
      </c>
      <c r="I34" s="16">
        <v>2.0</v>
      </c>
      <c r="J34" s="16">
        <f t="shared" si="1"/>
        <v>2</v>
      </c>
      <c r="K34" s="16">
        <f t="shared" si="2"/>
        <v>2</v>
      </c>
      <c r="L34" s="16">
        <f t="shared" si="3"/>
        <v>2</v>
      </c>
      <c r="M34" s="18"/>
      <c r="N34" s="18"/>
      <c r="O34" s="18"/>
      <c r="P34" s="18"/>
      <c r="Q34" s="18"/>
      <c r="R34" s="18" t="s">
        <v>29</v>
      </c>
      <c r="S34" s="18" t="s">
        <v>30</v>
      </c>
      <c r="T34" s="19"/>
      <c r="U34" s="19"/>
    </row>
    <row r="35" ht="12.0" customHeight="1">
      <c r="B35" s="20" t="s">
        <v>24</v>
      </c>
      <c r="C35" s="11" t="s">
        <v>116</v>
      </c>
      <c r="D35" s="12" t="s">
        <v>27</v>
      </c>
      <c r="E35" s="14" t="s">
        <v>24</v>
      </c>
      <c r="F35" s="15" t="s">
        <v>117</v>
      </c>
      <c r="G35" s="16">
        <v>2.0</v>
      </c>
      <c r="H35" s="16">
        <v>1.0</v>
      </c>
      <c r="I35" s="16">
        <v>2.0</v>
      </c>
      <c r="J35" s="16">
        <f t="shared" si="1"/>
        <v>2</v>
      </c>
      <c r="K35" s="16">
        <f t="shared" si="2"/>
        <v>2</v>
      </c>
      <c r="L35" s="16">
        <f t="shared" si="3"/>
        <v>2</v>
      </c>
      <c r="M35" s="18"/>
      <c r="N35" s="18"/>
      <c r="O35" s="18"/>
      <c r="P35" s="18"/>
      <c r="Q35" s="18"/>
      <c r="R35" s="18" t="s">
        <v>29</v>
      </c>
      <c r="S35" s="18" t="s">
        <v>30</v>
      </c>
      <c r="T35" s="19"/>
      <c r="U35" s="19"/>
    </row>
    <row r="36" ht="12.0" customHeight="1">
      <c r="B36" s="20" t="s">
        <v>24</v>
      </c>
      <c r="C36" s="11" t="s">
        <v>118</v>
      </c>
      <c r="D36" s="12" t="s">
        <v>27</v>
      </c>
      <c r="E36" s="14" t="s">
        <v>24</v>
      </c>
      <c r="F36" s="15" t="s">
        <v>119</v>
      </c>
      <c r="G36" s="16">
        <v>2.0</v>
      </c>
      <c r="H36" s="16">
        <v>1.0</v>
      </c>
      <c r="I36" s="16">
        <v>2.0</v>
      </c>
      <c r="J36" s="16">
        <f t="shared" si="1"/>
        <v>2</v>
      </c>
      <c r="K36" s="16">
        <f t="shared" si="2"/>
        <v>2</v>
      </c>
      <c r="L36" s="16">
        <f t="shared" si="3"/>
        <v>2</v>
      </c>
      <c r="M36" s="18"/>
      <c r="N36" s="18"/>
      <c r="O36" s="18"/>
      <c r="P36" s="18"/>
      <c r="Q36" s="18"/>
      <c r="R36" s="18" t="s">
        <v>29</v>
      </c>
      <c r="S36" s="18" t="s">
        <v>30</v>
      </c>
      <c r="T36" s="19"/>
      <c r="U36" s="19"/>
    </row>
    <row r="37" ht="12.0" customHeight="1">
      <c r="B37" s="20" t="s">
        <v>120</v>
      </c>
      <c r="C37" s="11" t="s">
        <v>121</v>
      </c>
      <c r="D37" s="12" t="s">
        <v>27</v>
      </c>
      <c r="E37" s="14" t="s">
        <v>33</v>
      </c>
      <c r="F37" s="15" t="s">
        <v>122</v>
      </c>
      <c r="G37" s="16">
        <v>1.0</v>
      </c>
      <c r="H37" s="16">
        <v>1.0</v>
      </c>
      <c r="I37" s="16">
        <v>1.0</v>
      </c>
      <c r="J37" s="16">
        <f t="shared" si="1"/>
        <v>1</v>
      </c>
      <c r="K37" s="16">
        <f t="shared" si="2"/>
        <v>1</v>
      </c>
      <c r="L37" s="16">
        <f t="shared" si="3"/>
        <v>1</v>
      </c>
      <c r="M37" s="18"/>
      <c r="N37" s="18"/>
      <c r="O37" s="18"/>
      <c r="P37" s="18"/>
      <c r="Q37" s="18"/>
      <c r="R37" s="18" t="s">
        <v>29</v>
      </c>
      <c r="S37" s="18" t="s">
        <v>30</v>
      </c>
      <c r="T37" s="19"/>
      <c r="U37" s="19"/>
    </row>
    <row r="38" ht="12.0" customHeight="1">
      <c r="B38" s="20" t="s">
        <v>24</v>
      </c>
      <c r="C38" s="11" t="s">
        <v>123</v>
      </c>
      <c r="D38" s="12" t="s">
        <v>27</v>
      </c>
      <c r="E38" s="14" t="s">
        <v>24</v>
      </c>
      <c r="F38" s="15" t="s">
        <v>124</v>
      </c>
      <c r="G38" s="16">
        <v>2.0</v>
      </c>
      <c r="H38" s="16">
        <v>1.0</v>
      </c>
      <c r="I38" s="16">
        <v>2.0</v>
      </c>
      <c r="J38" s="16">
        <f t="shared" si="1"/>
        <v>2</v>
      </c>
      <c r="K38" s="16">
        <f t="shared" si="2"/>
        <v>2</v>
      </c>
      <c r="L38" s="16">
        <f t="shared" si="3"/>
        <v>2</v>
      </c>
      <c r="M38" s="18"/>
      <c r="N38" s="18"/>
      <c r="O38" s="18"/>
      <c r="P38" s="18"/>
      <c r="Q38" s="18"/>
      <c r="R38" s="18" t="s">
        <v>29</v>
      </c>
      <c r="S38" s="18" t="s">
        <v>30</v>
      </c>
      <c r="T38" s="19"/>
      <c r="U38" s="19"/>
    </row>
    <row r="39" ht="12.0" customHeight="1">
      <c r="B39" s="20" t="s">
        <v>24</v>
      </c>
      <c r="C39" s="11" t="s">
        <v>125</v>
      </c>
      <c r="D39" s="12" t="s">
        <v>27</v>
      </c>
      <c r="E39" s="14" t="s">
        <v>24</v>
      </c>
      <c r="F39" s="15" t="s">
        <v>126</v>
      </c>
      <c r="G39" s="16">
        <v>2.0</v>
      </c>
      <c r="H39" s="16">
        <v>1.0</v>
      </c>
      <c r="I39" s="16">
        <v>2.0</v>
      </c>
      <c r="J39" s="16">
        <f t="shared" si="1"/>
        <v>2</v>
      </c>
      <c r="K39" s="16">
        <f t="shared" si="2"/>
        <v>2</v>
      </c>
      <c r="L39" s="16">
        <f t="shared" si="3"/>
        <v>2</v>
      </c>
      <c r="M39" s="18"/>
      <c r="N39" s="18"/>
      <c r="O39" s="18"/>
      <c r="P39" s="18"/>
      <c r="Q39" s="18"/>
      <c r="R39" s="18" t="s">
        <v>29</v>
      </c>
      <c r="S39" s="18" t="s">
        <v>30</v>
      </c>
      <c r="T39" s="19"/>
      <c r="U39" s="19"/>
    </row>
    <row r="40" ht="12.0" customHeight="1">
      <c r="B40" s="20" t="s">
        <v>24</v>
      </c>
      <c r="C40" s="11" t="s">
        <v>127</v>
      </c>
      <c r="D40" s="12" t="s">
        <v>27</v>
      </c>
      <c r="E40" s="14" t="s">
        <v>24</v>
      </c>
      <c r="F40" s="15" t="s">
        <v>128</v>
      </c>
      <c r="G40" s="16">
        <v>1.0</v>
      </c>
      <c r="H40" s="16">
        <v>1.0</v>
      </c>
      <c r="I40" s="16">
        <v>1.0</v>
      </c>
      <c r="J40" s="16">
        <f t="shared" si="1"/>
        <v>1</v>
      </c>
      <c r="K40" s="16">
        <f t="shared" si="2"/>
        <v>1</v>
      </c>
      <c r="L40" s="16">
        <f t="shared" si="3"/>
        <v>1</v>
      </c>
      <c r="M40" s="18" t="s">
        <v>15</v>
      </c>
      <c r="N40" s="18" t="s">
        <v>15</v>
      </c>
      <c r="O40" s="18"/>
      <c r="P40" s="18"/>
      <c r="Q40" s="18"/>
      <c r="R40" s="18" t="s">
        <v>29</v>
      </c>
      <c r="S40" s="18" t="s">
        <v>30</v>
      </c>
      <c r="T40" s="19"/>
      <c r="U40" s="19"/>
    </row>
    <row r="41" ht="12.0" customHeight="1">
      <c r="B41" s="20" t="s">
        <v>24</v>
      </c>
      <c r="C41" s="11" t="s">
        <v>129</v>
      </c>
      <c r="D41" s="12" t="s">
        <v>27</v>
      </c>
      <c r="E41" s="14" t="s">
        <v>24</v>
      </c>
      <c r="F41" s="15" t="s">
        <v>130</v>
      </c>
      <c r="G41" s="16">
        <v>1.0</v>
      </c>
      <c r="H41" s="16">
        <v>1.0</v>
      </c>
      <c r="I41" s="16">
        <v>1.0</v>
      </c>
      <c r="J41" s="16">
        <f t="shared" si="1"/>
        <v>1</v>
      </c>
      <c r="K41" s="16">
        <f t="shared" si="2"/>
        <v>1</v>
      </c>
      <c r="L41" s="16">
        <f t="shared" si="3"/>
        <v>1</v>
      </c>
      <c r="M41" s="18" t="s">
        <v>15</v>
      </c>
      <c r="N41" s="18" t="s">
        <v>15</v>
      </c>
      <c r="O41" s="18"/>
      <c r="P41" s="18"/>
      <c r="Q41" s="18"/>
      <c r="R41" s="18" t="s">
        <v>29</v>
      </c>
      <c r="S41" s="18" t="s">
        <v>30</v>
      </c>
      <c r="T41" s="19"/>
      <c r="U41" s="19"/>
    </row>
    <row r="42" ht="12.0" customHeight="1">
      <c r="B42" s="20" t="s">
        <v>24</v>
      </c>
      <c r="C42" s="11" t="s">
        <v>131</v>
      </c>
      <c r="D42" s="12" t="s">
        <v>27</v>
      </c>
      <c r="E42" s="14" t="s">
        <v>24</v>
      </c>
      <c r="F42" s="15" t="s">
        <v>132</v>
      </c>
      <c r="G42" s="16">
        <v>1.0</v>
      </c>
      <c r="H42" s="16">
        <v>1.0</v>
      </c>
      <c r="I42" s="16">
        <v>1.0</v>
      </c>
      <c r="J42" s="16">
        <f t="shared" si="1"/>
        <v>1</v>
      </c>
      <c r="K42" s="16">
        <f t="shared" si="2"/>
        <v>1</v>
      </c>
      <c r="L42" s="16">
        <f t="shared" si="3"/>
        <v>1</v>
      </c>
      <c r="M42" s="18"/>
      <c r="N42" s="18"/>
      <c r="O42" s="18"/>
      <c r="P42" s="18"/>
      <c r="Q42" s="18"/>
      <c r="R42" s="18" t="s">
        <v>29</v>
      </c>
      <c r="S42" s="18" t="s">
        <v>30</v>
      </c>
      <c r="T42" s="19"/>
      <c r="U42" s="19"/>
    </row>
    <row r="43" ht="12.0" customHeight="1">
      <c r="B43" s="20" t="s">
        <v>24</v>
      </c>
      <c r="C43" s="11" t="s">
        <v>133</v>
      </c>
      <c r="D43" s="12" t="s">
        <v>27</v>
      </c>
      <c r="E43" s="14" t="s">
        <v>24</v>
      </c>
      <c r="F43" s="15" t="s">
        <v>134</v>
      </c>
      <c r="G43" s="16">
        <v>1.0</v>
      </c>
      <c r="H43" s="16">
        <v>1.0</v>
      </c>
      <c r="I43" s="16">
        <v>1.0</v>
      </c>
      <c r="J43" s="16">
        <f t="shared" si="1"/>
        <v>1</v>
      </c>
      <c r="K43" s="16">
        <f t="shared" si="2"/>
        <v>1</v>
      </c>
      <c r="L43" s="16">
        <f t="shared" si="3"/>
        <v>1</v>
      </c>
      <c r="M43" s="18" t="s">
        <v>15</v>
      </c>
      <c r="N43" s="18"/>
      <c r="O43" s="18"/>
      <c r="P43" s="18"/>
      <c r="Q43" s="18"/>
      <c r="R43" s="18" t="s">
        <v>29</v>
      </c>
      <c r="S43" s="18" t="s">
        <v>30</v>
      </c>
      <c r="T43" s="19"/>
      <c r="U43" s="19"/>
    </row>
    <row r="44" ht="12.0" customHeight="1">
      <c r="B44" s="20" t="s">
        <v>24</v>
      </c>
      <c r="C44" s="11" t="s">
        <v>135</v>
      </c>
      <c r="D44" s="12" t="s">
        <v>27</v>
      </c>
      <c r="E44" s="14" t="s">
        <v>24</v>
      </c>
      <c r="F44" s="15" t="s">
        <v>136</v>
      </c>
      <c r="G44" s="16">
        <v>1.0</v>
      </c>
      <c r="H44" s="16">
        <v>1.0</v>
      </c>
      <c r="I44" s="16">
        <v>1.0</v>
      </c>
      <c r="J44" s="16">
        <f t="shared" si="1"/>
        <v>1</v>
      </c>
      <c r="K44" s="16">
        <f t="shared" si="2"/>
        <v>1</v>
      </c>
      <c r="L44" s="16">
        <f t="shared" si="3"/>
        <v>1</v>
      </c>
      <c r="M44" s="18" t="s">
        <v>15</v>
      </c>
      <c r="N44" s="18"/>
      <c r="O44" s="18"/>
      <c r="P44" s="18"/>
      <c r="Q44" s="18"/>
      <c r="R44" s="18" t="s">
        <v>29</v>
      </c>
      <c r="S44" s="18" t="s">
        <v>30</v>
      </c>
      <c r="T44" s="19"/>
      <c r="U44" s="19"/>
    </row>
    <row r="45" ht="12.0" customHeight="1">
      <c r="B45" s="20" t="s">
        <v>33</v>
      </c>
      <c r="C45" s="11" t="s">
        <v>137</v>
      </c>
      <c r="D45" s="12" t="s">
        <v>27</v>
      </c>
      <c r="E45" s="14" t="s">
        <v>33</v>
      </c>
      <c r="F45" s="15" t="s">
        <v>138</v>
      </c>
      <c r="G45" s="16">
        <v>2.0</v>
      </c>
      <c r="H45" s="16">
        <v>1.0</v>
      </c>
      <c r="I45" s="16">
        <v>2.0</v>
      </c>
      <c r="J45" s="16">
        <f t="shared" si="1"/>
        <v>2</v>
      </c>
      <c r="K45" s="16">
        <f t="shared" si="2"/>
        <v>2</v>
      </c>
      <c r="L45" s="16">
        <f t="shared" si="3"/>
        <v>2</v>
      </c>
      <c r="M45" s="18" t="s">
        <v>15</v>
      </c>
      <c r="N45" s="18" t="s">
        <v>15</v>
      </c>
      <c r="O45" s="18"/>
      <c r="P45" s="18"/>
      <c r="Q45" s="18"/>
      <c r="R45" s="18" t="s">
        <v>29</v>
      </c>
      <c r="S45" s="18" t="s">
        <v>30</v>
      </c>
      <c r="T45" s="19"/>
      <c r="U45" s="19"/>
    </row>
    <row r="46" ht="12.75" customHeight="1">
      <c r="B46" s="20" t="s">
        <v>24</v>
      </c>
      <c r="C46" s="12" t="s">
        <v>139</v>
      </c>
      <c r="D46" s="12" t="s">
        <v>42</v>
      </c>
      <c r="E46" s="14" t="s">
        <v>24</v>
      </c>
      <c r="F46" s="15" t="s">
        <v>140</v>
      </c>
      <c r="G46" s="16">
        <v>5.0</v>
      </c>
      <c r="H46" s="16">
        <v>4.0</v>
      </c>
      <c r="I46" s="16">
        <v>4.0</v>
      </c>
      <c r="J46" s="16">
        <f t="shared" si="1"/>
        <v>4</v>
      </c>
      <c r="K46" s="16">
        <f t="shared" si="2"/>
        <v>4</v>
      </c>
      <c r="L46" s="16">
        <f t="shared" si="3"/>
        <v>4</v>
      </c>
      <c r="M46" s="18" t="s">
        <v>15</v>
      </c>
      <c r="N46" s="18" t="s">
        <v>15</v>
      </c>
      <c r="O46" s="18" t="s">
        <v>15</v>
      </c>
      <c r="P46" s="18" t="s">
        <v>15</v>
      </c>
      <c r="Q46" s="18"/>
      <c r="R46" s="18" t="s">
        <v>36</v>
      </c>
      <c r="S46" s="18" t="s">
        <v>30</v>
      </c>
      <c r="T46" s="9">
        <v>1.0</v>
      </c>
      <c r="U46" s="18" t="s">
        <v>50</v>
      </c>
    </row>
    <row r="47" ht="12.75" customHeight="1">
      <c r="B47" s="23" t="s">
        <v>24</v>
      </c>
      <c r="C47" s="12" t="s">
        <v>141</v>
      </c>
      <c r="D47" s="12" t="s">
        <v>142</v>
      </c>
      <c r="E47" s="14" t="s">
        <v>24</v>
      </c>
      <c r="F47" s="15" t="s">
        <v>143</v>
      </c>
      <c r="G47" s="16">
        <v>4.0</v>
      </c>
      <c r="H47" s="16">
        <v>4.0</v>
      </c>
      <c r="I47" s="16">
        <v>3.0</v>
      </c>
      <c r="J47" s="16">
        <f t="shared" si="1"/>
        <v>3</v>
      </c>
      <c r="K47" s="16">
        <f t="shared" si="2"/>
        <v>3</v>
      </c>
      <c r="L47" s="16">
        <f t="shared" si="3"/>
        <v>3</v>
      </c>
      <c r="M47" s="18" t="s">
        <v>15</v>
      </c>
      <c r="N47" s="18" t="s">
        <v>15</v>
      </c>
      <c r="O47" s="18" t="s">
        <v>15</v>
      </c>
      <c r="P47" s="18" t="s">
        <v>29</v>
      </c>
      <c r="Q47" s="18"/>
      <c r="R47" s="18" t="s">
        <v>36</v>
      </c>
      <c r="S47" s="18" t="s">
        <v>30</v>
      </c>
      <c r="T47" s="19"/>
      <c r="U47" s="19"/>
    </row>
    <row r="48" ht="12.0" customHeight="1">
      <c r="B48" s="23" t="s">
        <v>24</v>
      </c>
      <c r="C48" s="12" t="s">
        <v>144</v>
      </c>
      <c r="D48" s="12" t="s">
        <v>27</v>
      </c>
      <c r="E48" s="14" t="s">
        <v>24</v>
      </c>
      <c r="F48" s="15" t="s">
        <v>145</v>
      </c>
      <c r="G48" s="16">
        <v>2.0</v>
      </c>
      <c r="H48" s="16">
        <v>1.0</v>
      </c>
      <c r="I48" s="16">
        <v>2.0</v>
      </c>
      <c r="J48" s="16">
        <f t="shared" si="1"/>
        <v>2</v>
      </c>
      <c r="K48" s="16">
        <f t="shared" si="2"/>
        <v>2</v>
      </c>
      <c r="L48" s="16">
        <f t="shared" si="3"/>
        <v>2</v>
      </c>
      <c r="M48" s="18" t="s">
        <v>15</v>
      </c>
      <c r="N48" s="18" t="s">
        <v>15</v>
      </c>
      <c r="O48" s="18" t="s">
        <v>29</v>
      </c>
      <c r="P48" s="18" t="s">
        <v>29</v>
      </c>
      <c r="Q48" s="18"/>
      <c r="R48" s="18" t="s">
        <v>29</v>
      </c>
      <c r="S48" s="18" t="s">
        <v>30</v>
      </c>
      <c r="T48" s="19"/>
      <c r="U48" s="19"/>
    </row>
    <row r="49" ht="15.75" customHeight="1">
      <c r="B49" s="20" t="s">
        <v>40</v>
      </c>
      <c r="C49" s="12" t="s">
        <v>146</v>
      </c>
      <c r="D49" s="12" t="s">
        <v>27</v>
      </c>
      <c r="E49" s="14" t="s">
        <v>33</v>
      </c>
      <c r="F49" s="21" t="s">
        <v>147</v>
      </c>
      <c r="G49" s="22">
        <v>2.0</v>
      </c>
      <c r="H49" s="22">
        <v>1.0</v>
      </c>
      <c r="I49" s="22">
        <v>2.0</v>
      </c>
      <c r="J49" s="16">
        <f t="shared" si="1"/>
        <v>2</v>
      </c>
      <c r="K49" s="16">
        <f t="shared" si="2"/>
        <v>2</v>
      </c>
      <c r="L49" s="16">
        <f t="shared" si="3"/>
        <v>2</v>
      </c>
      <c r="M49" s="18" t="s">
        <v>15</v>
      </c>
      <c r="N49" s="18" t="s">
        <v>15</v>
      </c>
      <c r="O49" s="18" t="s">
        <v>29</v>
      </c>
      <c r="P49" s="18" t="s">
        <v>29</v>
      </c>
      <c r="Q49" s="18"/>
      <c r="R49" s="18" t="s">
        <v>29</v>
      </c>
      <c r="S49" s="18" t="s">
        <v>30</v>
      </c>
      <c r="T49" s="19"/>
      <c r="U49" s="19"/>
    </row>
    <row r="50" ht="15.75" customHeight="1">
      <c r="B50" s="20" t="s">
        <v>40</v>
      </c>
      <c r="C50" s="12" t="s">
        <v>148</v>
      </c>
      <c r="D50" s="12" t="s">
        <v>27</v>
      </c>
      <c r="E50" s="14" t="s">
        <v>33</v>
      </c>
      <c r="F50" s="21" t="s">
        <v>149</v>
      </c>
      <c r="G50" s="22">
        <v>2.0</v>
      </c>
      <c r="H50" s="22">
        <v>1.0</v>
      </c>
      <c r="I50" s="22">
        <v>2.0</v>
      </c>
      <c r="J50" s="16">
        <f t="shared" si="1"/>
        <v>2</v>
      </c>
      <c r="K50" s="16">
        <f t="shared" si="2"/>
        <v>2</v>
      </c>
      <c r="L50" s="16">
        <f t="shared" si="3"/>
        <v>2</v>
      </c>
      <c r="M50" s="18" t="s">
        <v>15</v>
      </c>
      <c r="N50" s="18" t="s">
        <v>15</v>
      </c>
      <c r="O50" s="18" t="s">
        <v>29</v>
      </c>
      <c r="P50" s="18" t="s">
        <v>29</v>
      </c>
      <c r="Q50" s="18"/>
      <c r="R50" s="18" t="s">
        <v>29</v>
      </c>
      <c r="S50" s="18" t="s">
        <v>30</v>
      </c>
      <c r="T50" s="19"/>
      <c r="U50" s="19"/>
    </row>
    <row r="51" ht="15.75" customHeight="1">
      <c r="B51" s="20" t="s">
        <v>44</v>
      </c>
      <c r="C51" s="12" t="s">
        <v>150</v>
      </c>
      <c r="D51" s="12" t="s">
        <v>27</v>
      </c>
      <c r="E51" s="14" t="s">
        <v>33</v>
      </c>
      <c r="F51" s="21" t="s">
        <v>151</v>
      </c>
      <c r="G51" s="22">
        <v>2.0</v>
      </c>
      <c r="H51" s="22">
        <v>2.0</v>
      </c>
      <c r="I51" s="22">
        <v>2.0</v>
      </c>
      <c r="J51" s="16">
        <f t="shared" si="1"/>
        <v>2</v>
      </c>
      <c r="K51" s="16">
        <f t="shared" si="2"/>
        <v>2</v>
      </c>
      <c r="L51" s="16">
        <f t="shared" si="3"/>
        <v>2</v>
      </c>
      <c r="M51" s="18" t="s">
        <v>15</v>
      </c>
      <c r="N51" s="18" t="s">
        <v>15</v>
      </c>
      <c r="O51" s="18" t="s">
        <v>29</v>
      </c>
      <c r="P51" s="18" t="s">
        <v>29</v>
      </c>
      <c r="Q51" s="18"/>
      <c r="R51" s="18" t="s">
        <v>29</v>
      </c>
      <c r="S51" s="18" t="s">
        <v>30</v>
      </c>
      <c r="T51" s="19"/>
      <c r="U51" s="19"/>
    </row>
    <row r="52" ht="12.0" customHeight="1">
      <c r="B52" s="20" t="s">
        <v>24</v>
      </c>
      <c r="C52" s="11" t="s">
        <v>152</v>
      </c>
      <c r="D52" s="11" t="s">
        <v>42</v>
      </c>
      <c r="E52" s="14" t="s">
        <v>24</v>
      </c>
      <c r="F52" s="15" t="s">
        <v>153</v>
      </c>
      <c r="G52" s="16">
        <v>2.0</v>
      </c>
      <c r="H52" s="16">
        <v>2.0</v>
      </c>
      <c r="I52" s="16">
        <v>2.0</v>
      </c>
      <c r="J52" s="16">
        <f t="shared" si="1"/>
        <v>2</v>
      </c>
      <c r="K52" s="16">
        <f t="shared" si="2"/>
        <v>2</v>
      </c>
      <c r="L52" s="16">
        <f t="shared" si="3"/>
        <v>2</v>
      </c>
      <c r="M52" s="18" t="s">
        <v>15</v>
      </c>
      <c r="N52" s="18" t="s">
        <v>15</v>
      </c>
      <c r="O52" s="18" t="s">
        <v>29</v>
      </c>
      <c r="P52" s="18" t="s">
        <v>29</v>
      </c>
      <c r="Q52" s="18"/>
      <c r="R52" s="18" t="s">
        <v>29</v>
      </c>
      <c r="S52" s="18" t="s">
        <v>30</v>
      </c>
      <c r="T52" s="19"/>
      <c r="U52" s="19"/>
    </row>
    <row r="53" ht="15.75" customHeight="1">
      <c r="B53" s="20" t="s">
        <v>74</v>
      </c>
      <c r="C53" s="12" t="s">
        <v>154</v>
      </c>
      <c r="D53" s="12" t="s">
        <v>42</v>
      </c>
      <c r="E53" s="14" t="s">
        <v>33</v>
      </c>
      <c r="F53" s="21" t="s">
        <v>155</v>
      </c>
      <c r="G53" s="22">
        <v>2.0</v>
      </c>
      <c r="H53" s="22">
        <v>1.0</v>
      </c>
      <c r="I53" s="22">
        <v>2.0</v>
      </c>
      <c r="J53" s="16">
        <f t="shared" si="1"/>
        <v>2</v>
      </c>
      <c r="K53" s="16">
        <f t="shared" si="2"/>
        <v>2</v>
      </c>
      <c r="L53" s="16">
        <f t="shared" si="3"/>
        <v>2</v>
      </c>
      <c r="M53" s="18" t="s">
        <v>15</v>
      </c>
      <c r="N53" s="18" t="s">
        <v>15</v>
      </c>
      <c r="O53" s="18" t="s">
        <v>29</v>
      </c>
      <c r="P53" s="18" t="s">
        <v>29</v>
      </c>
      <c r="Q53" s="18"/>
      <c r="R53" s="18" t="s">
        <v>29</v>
      </c>
      <c r="S53" s="18" t="s">
        <v>30</v>
      </c>
      <c r="T53" s="19"/>
      <c r="U53" s="19"/>
    </row>
    <row r="54" ht="12.0" customHeight="1">
      <c r="B54" s="20" t="s">
        <v>24</v>
      </c>
      <c r="C54" s="12" t="s">
        <v>156</v>
      </c>
      <c r="D54" s="12" t="s">
        <v>42</v>
      </c>
      <c r="E54" s="14" t="s">
        <v>24</v>
      </c>
      <c r="F54" s="15" t="s">
        <v>157</v>
      </c>
      <c r="G54" s="16">
        <v>3.0</v>
      </c>
      <c r="H54" s="16">
        <v>2.0</v>
      </c>
      <c r="I54" s="16">
        <v>3.0</v>
      </c>
      <c r="J54" s="16">
        <f t="shared" si="1"/>
        <v>3</v>
      </c>
      <c r="K54" s="16">
        <f t="shared" si="2"/>
        <v>3</v>
      </c>
      <c r="L54" s="16">
        <f t="shared" si="3"/>
        <v>3</v>
      </c>
      <c r="M54" s="18" t="s">
        <v>15</v>
      </c>
      <c r="N54" s="18" t="s">
        <v>15</v>
      </c>
      <c r="O54" s="18" t="s">
        <v>15</v>
      </c>
      <c r="P54" s="18"/>
      <c r="Q54" s="18"/>
      <c r="R54" s="18" t="s">
        <v>29</v>
      </c>
      <c r="S54" s="18" t="s">
        <v>30</v>
      </c>
      <c r="T54" s="19"/>
      <c r="U54" s="19"/>
    </row>
    <row r="55" ht="15.75" customHeight="1">
      <c r="B55" s="27" t="s">
        <v>86</v>
      </c>
      <c r="C55" s="12" t="s">
        <v>158</v>
      </c>
      <c r="D55" s="12" t="s">
        <v>27</v>
      </c>
      <c r="E55" s="14" t="s">
        <v>33</v>
      </c>
      <c r="F55" s="21" t="s">
        <v>159</v>
      </c>
      <c r="G55" s="22">
        <v>2.0</v>
      </c>
      <c r="H55" s="22">
        <v>1.0</v>
      </c>
      <c r="I55" s="22">
        <v>2.0</v>
      </c>
      <c r="J55" s="16">
        <f t="shared" si="1"/>
        <v>2</v>
      </c>
      <c r="K55" s="16">
        <f t="shared" si="2"/>
        <v>2</v>
      </c>
      <c r="L55" s="16">
        <f t="shared" si="3"/>
        <v>2</v>
      </c>
      <c r="M55" s="18" t="s">
        <v>15</v>
      </c>
      <c r="N55" s="18" t="s">
        <v>15</v>
      </c>
      <c r="O55" s="18" t="s">
        <v>29</v>
      </c>
      <c r="P55" s="18" t="s">
        <v>29</v>
      </c>
      <c r="Q55" s="18"/>
      <c r="R55" s="18" t="s">
        <v>29</v>
      </c>
      <c r="S55" s="18" t="s">
        <v>30</v>
      </c>
      <c r="T55" s="19"/>
      <c r="U55" s="19"/>
    </row>
    <row r="56" ht="12.0" customHeight="1">
      <c r="B56" s="20" t="s">
        <v>24</v>
      </c>
      <c r="C56" s="12" t="s">
        <v>160</v>
      </c>
      <c r="D56" s="12" t="s">
        <v>27</v>
      </c>
      <c r="E56" s="14" t="s">
        <v>24</v>
      </c>
      <c r="F56" s="15" t="s">
        <v>161</v>
      </c>
      <c r="G56" s="16">
        <v>2.0</v>
      </c>
      <c r="H56" s="16">
        <v>2.0</v>
      </c>
      <c r="I56" s="16">
        <v>2.0</v>
      </c>
      <c r="J56" s="16">
        <f t="shared" si="1"/>
        <v>2</v>
      </c>
      <c r="K56" s="16">
        <f t="shared" si="2"/>
        <v>2</v>
      </c>
      <c r="L56" s="16">
        <f t="shared" si="3"/>
        <v>2</v>
      </c>
      <c r="M56" s="18" t="s">
        <v>15</v>
      </c>
      <c r="N56" s="18" t="s">
        <v>15</v>
      </c>
      <c r="O56" s="18" t="s">
        <v>29</v>
      </c>
      <c r="P56" s="18" t="s">
        <v>29</v>
      </c>
      <c r="Q56" s="18"/>
      <c r="R56" s="18" t="s">
        <v>29</v>
      </c>
      <c r="S56" s="18" t="s">
        <v>30</v>
      </c>
      <c r="T56" s="19"/>
      <c r="U56" s="19"/>
    </row>
    <row r="57" ht="12.0" customHeight="1">
      <c r="B57" s="20" t="s">
        <v>24</v>
      </c>
      <c r="C57" s="11" t="s">
        <v>162</v>
      </c>
      <c r="D57" s="12" t="s">
        <v>27</v>
      </c>
      <c r="E57" s="14" t="s">
        <v>24</v>
      </c>
      <c r="F57" s="15" t="s">
        <v>163</v>
      </c>
      <c r="G57" s="16">
        <v>2.0</v>
      </c>
      <c r="H57" s="16">
        <v>2.0</v>
      </c>
      <c r="I57" s="16">
        <v>2.0</v>
      </c>
      <c r="J57" s="16">
        <f t="shared" si="1"/>
        <v>2</v>
      </c>
      <c r="K57" s="16">
        <f t="shared" si="2"/>
        <v>2</v>
      </c>
      <c r="L57" s="16">
        <f t="shared" si="3"/>
        <v>2</v>
      </c>
      <c r="M57" s="18" t="s">
        <v>15</v>
      </c>
      <c r="N57" s="18" t="s">
        <v>15</v>
      </c>
      <c r="O57" s="18" t="s">
        <v>29</v>
      </c>
      <c r="P57" s="18" t="s">
        <v>29</v>
      </c>
      <c r="Q57" s="18"/>
      <c r="R57" s="18" t="s">
        <v>29</v>
      </c>
      <c r="S57" s="18" t="s">
        <v>30</v>
      </c>
      <c r="T57" s="19"/>
      <c r="U57" s="19"/>
    </row>
    <row r="58" ht="15.75" customHeight="1">
      <c r="B58" s="20" t="s">
        <v>83</v>
      </c>
      <c r="C58" s="12" t="s">
        <v>164</v>
      </c>
      <c r="D58" s="12" t="s">
        <v>27</v>
      </c>
      <c r="E58" s="14" t="s">
        <v>33</v>
      </c>
      <c r="F58" s="21" t="s">
        <v>165</v>
      </c>
      <c r="G58" s="22">
        <v>1.0</v>
      </c>
      <c r="H58" s="22">
        <v>1.0</v>
      </c>
      <c r="I58" s="22">
        <v>1.0</v>
      </c>
      <c r="J58" s="16">
        <f t="shared" si="1"/>
        <v>1</v>
      </c>
      <c r="K58" s="16">
        <f t="shared" si="2"/>
        <v>1</v>
      </c>
      <c r="L58" s="16">
        <f t="shared" si="3"/>
        <v>1</v>
      </c>
      <c r="M58" s="18" t="s">
        <v>15</v>
      </c>
      <c r="N58" s="18" t="s">
        <v>29</v>
      </c>
      <c r="O58" s="18" t="s">
        <v>29</v>
      </c>
      <c r="P58" s="18" t="s">
        <v>29</v>
      </c>
      <c r="Q58" s="18"/>
      <c r="R58" s="18" t="s">
        <v>29</v>
      </c>
      <c r="S58" s="18" t="s">
        <v>30</v>
      </c>
      <c r="T58" s="19"/>
      <c r="U58" s="19"/>
    </row>
    <row r="59" ht="15.75" customHeight="1">
      <c r="B59" s="20" t="s">
        <v>83</v>
      </c>
      <c r="C59" s="12" t="s">
        <v>166</v>
      </c>
      <c r="D59" s="12" t="s">
        <v>27</v>
      </c>
      <c r="E59" s="14" t="s">
        <v>33</v>
      </c>
      <c r="F59" s="21" t="s">
        <v>167</v>
      </c>
      <c r="G59" s="22">
        <v>1.0</v>
      </c>
      <c r="H59" s="22">
        <v>1.0</v>
      </c>
      <c r="I59" s="22">
        <v>1.0</v>
      </c>
      <c r="J59" s="16">
        <f t="shared" si="1"/>
        <v>1</v>
      </c>
      <c r="K59" s="16">
        <f t="shared" si="2"/>
        <v>1</v>
      </c>
      <c r="L59" s="16">
        <f t="shared" si="3"/>
        <v>1</v>
      </c>
      <c r="M59" s="18" t="s">
        <v>15</v>
      </c>
      <c r="N59" s="18" t="s">
        <v>29</v>
      </c>
      <c r="O59" s="18" t="s">
        <v>29</v>
      </c>
      <c r="P59" s="18" t="s">
        <v>29</v>
      </c>
      <c r="Q59" s="18"/>
      <c r="R59" s="18" t="s">
        <v>29</v>
      </c>
      <c r="S59" s="18" t="s">
        <v>30</v>
      </c>
      <c r="T59" s="19"/>
      <c r="U59" s="19"/>
    </row>
    <row r="60" ht="12.0" customHeight="1">
      <c r="B60" s="20" t="s">
        <v>24</v>
      </c>
      <c r="C60" s="11" t="s">
        <v>168</v>
      </c>
      <c r="D60" s="11" t="s">
        <v>42</v>
      </c>
      <c r="E60" s="14" t="s">
        <v>24</v>
      </c>
      <c r="F60" s="15" t="s">
        <v>169</v>
      </c>
      <c r="G60" s="16">
        <v>3.0</v>
      </c>
      <c r="H60" s="16">
        <v>2.0</v>
      </c>
      <c r="I60" s="16">
        <v>3.0</v>
      </c>
      <c r="J60" s="16">
        <f t="shared" si="1"/>
        <v>3</v>
      </c>
      <c r="K60" s="16">
        <f t="shared" si="2"/>
        <v>3</v>
      </c>
      <c r="L60" s="16">
        <f t="shared" si="3"/>
        <v>3</v>
      </c>
      <c r="M60" s="18" t="s">
        <v>15</v>
      </c>
      <c r="N60" s="18" t="s">
        <v>15</v>
      </c>
      <c r="O60" s="18" t="s">
        <v>15</v>
      </c>
      <c r="P60" s="18" t="s">
        <v>29</v>
      </c>
      <c r="Q60" s="18"/>
      <c r="R60" s="18" t="s">
        <v>29</v>
      </c>
      <c r="S60" s="18" t="s">
        <v>30</v>
      </c>
      <c r="T60" s="19"/>
      <c r="U60" s="19"/>
    </row>
    <row r="61" ht="15.75" customHeight="1">
      <c r="B61" s="10" t="s">
        <v>55</v>
      </c>
      <c r="C61" s="12" t="s">
        <v>170</v>
      </c>
      <c r="D61" s="12" t="s">
        <v>27</v>
      </c>
      <c r="E61" s="14" t="s">
        <v>33</v>
      </c>
      <c r="F61" s="21" t="s">
        <v>171</v>
      </c>
      <c r="G61" s="22">
        <v>1.0</v>
      </c>
      <c r="H61" s="22">
        <v>1.0</v>
      </c>
      <c r="I61" s="22">
        <v>1.0</v>
      </c>
      <c r="J61" s="16">
        <f t="shared" si="1"/>
        <v>1</v>
      </c>
      <c r="K61" s="16">
        <f t="shared" si="2"/>
        <v>1</v>
      </c>
      <c r="L61" s="16">
        <f t="shared" si="3"/>
        <v>1</v>
      </c>
      <c r="M61" s="18" t="s">
        <v>15</v>
      </c>
      <c r="N61" s="18" t="s">
        <v>29</v>
      </c>
      <c r="O61" s="18" t="s">
        <v>29</v>
      </c>
      <c r="P61" s="18" t="s">
        <v>29</v>
      </c>
      <c r="Q61" s="18"/>
      <c r="R61" s="18" t="s">
        <v>29</v>
      </c>
      <c r="S61" s="18" t="s">
        <v>30</v>
      </c>
      <c r="T61" s="19"/>
      <c r="U61" s="19"/>
    </row>
    <row r="62" ht="12.0" customHeight="1">
      <c r="B62" s="28" t="s">
        <v>24</v>
      </c>
      <c r="C62" s="12" t="s">
        <v>172</v>
      </c>
      <c r="D62" s="12" t="s">
        <v>27</v>
      </c>
      <c r="E62" s="14" t="s">
        <v>24</v>
      </c>
      <c r="F62" s="15" t="s">
        <v>173</v>
      </c>
      <c r="G62" s="16">
        <v>2.0</v>
      </c>
      <c r="H62" s="16">
        <v>1.0</v>
      </c>
      <c r="I62" s="16">
        <v>2.0</v>
      </c>
      <c r="J62" s="16">
        <f t="shared" si="1"/>
        <v>2</v>
      </c>
      <c r="K62" s="16">
        <f t="shared" si="2"/>
        <v>2</v>
      </c>
      <c r="L62" s="16">
        <f t="shared" si="3"/>
        <v>2</v>
      </c>
      <c r="M62" s="18" t="s">
        <v>15</v>
      </c>
      <c r="N62" s="18" t="s">
        <v>15</v>
      </c>
      <c r="O62" s="18" t="s">
        <v>29</v>
      </c>
      <c r="P62" s="18" t="s">
        <v>29</v>
      </c>
      <c r="Q62" s="18"/>
      <c r="R62" s="18" t="s">
        <v>29</v>
      </c>
      <c r="S62" s="18" t="s">
        <v>30</v>
      </c>
      <c r="T62" s="19"/>
      <c r="U62" s="19"/>
    </row>
    <row r="63" ht="12.0" customHeight="1">
      <c r="B63" s="29" t="s">
        <v>24</v>
      </c>
      <c r="C63" s="11" t="s">
        <v>174</v>
      </c>
      <c r="D63" s="12" t="s">
        <v>27</v>
      </c>
      <c r="E63" s="14" t="s">
        <v>24</v>
      </c>
      <c r="F63" s="15" t="s">
        <v>175</v>
      </c>
      <c r="G63" s="16">
        <v>2.0</v>
      </c>
      <c r="H63" s="16">
        <v>2.0</v>
      </c>
      <c r="I63" s="16">
        <v>2.0</v>
      </c>
      <c r="J63" s="16">
        <f t="shared" si="1"/>
        <v>2</v>
      </c>
      <c r="K63" s="16">
        <f t="shared" si="2"/>
        <v>2</v>
      </c>
      <c r="L63" s="16">
        <f t="shared" si="3"/>
        <v>2</v>
      </c>
      <c r="M63" s="18" t="s">
        <v>15</v>
      </c>
      <c r="N63" s="18" t="s">
        <v>15</v>
      </c>
      <c r="O63" s="18" t="s">
        <v>29</v>
      </c>
      <c r="P63" s="18" t="s">
        <v>29</v>
      </c>
      <c r="Q63" s="18"/>
      <c r="R63" s="18" t="s">
        <v>29</v>
      </c>
      <c r="S63" s="18" t="s">
        <v>30</v>
      </c>
      <c r="T63" s="19"/>
      <c r="U63" s="19"/>
    </row>
    <row r="64" ht="15.75" customHeight="1">
      <c r="B64" s="29" t="s">
        <v>176</v>
      </c>
      <c r="C64" s="12" t="s">
        <v>177</v>
      </c>
      <c r="D64" s="12" t="s">
        <v>27</v>
      </c>
      <c r="E64" s="14" t="s">
        <v>33</v>
      </c>
      <c r="F64" s="25" t="s">
        <v>178</v>
      </c>
      <c r="G64" s="22">
        <v>1.0</v>
      </c>
      <c r="H64" s="22">
        <v>1.0</v>
      </c>
      <c r="I64" s="22">
        <v>1.0</v>
      </c>
      <c r="J64" s="16">
        <f t="shared" si="1"/>
        <v>1</v>
      </c>
      <c r="K64" s="16">
        <f t="shared" si="2"/>
        <v>1</v>
      </c>
      <c r="L64" s="16">
        <f t="shared" si="3"/>
        <v>1</v>
      </c>
      <c r="M64" s="18" t="s">
        <v>15</v>
      </c>
      <c r="N64" s="18" t="s">
        <v>29</v>
      </c>
      <c r="O64" s="18" t="s">
        <v>29</v>
      </c>
      <c r="P64" s="18" t="s">
        <v>29</v>
      </c>
      <c r="Q64" s="18"/>
      <c r="R64" s="18" t="s">
        <v>29</v>
      </c>
      <c r="S64" s="18" t="s">
        <v>30</v>
      </c>
      <c r="T64" s="19"/>
      <c r="U64" s="19"/>
    </row>
    <row r="65" ht="15.75" customHeight="1">
      <c r="B65" s="29" t="s">
        <v>120</v>
      </c>
      <c r="C65" s="12" t="s">
        <v>179</v>
      </c>
      <c r="D65" s="12" t="s">
        <v>27</v>
      </c>
      <c r="E65" s="14" t="s">
        <v>33</v>
      </c>
      <c r="F65" s="25" t="s">
        <v>180</v>
      </c>
      <c r="G65" s="22">
        <v>2.0</v>
      </c>
      <c r="H65" s="22">
        <v>1.0</v>
      </c>
      <c r="I65" s="22">
        <v>1.0</v>
      </c>
      <c r="J65" s="16">
        <f t="shared" si="1"/>
        <v>1</v>
      </c>
      <c r="K65" s="16">
        <f t="shared" si="2"/>
        <v>1</v>
      </c>
      <c r="L65" s="16">
        <f t="shared" si="3"/>
        <v>1</v>
      </c>
      <c r="M65" s="18" t="s">
        <v>15</v>
      </c>
      <c r="N65" s="18" t="s">
        <v>29</v>
      </c>
      <c r="O65" s="18" t="s">
        <v>29</v>
      </c>
      <c r="P65" s="18" t="s">
        <v>29</v>
      </c>
      <c r="Q65" s="18" t="s">
        <v>35</v>
      </c>
      <c r="R65" s="18" t="s">
        <v>36</v>
      </c>
      <c r="S65" s="18" t="s">
        <v>30</v>
      </c>
      <c r="T65" s="19"/>
      <c r="U65" s="19"/>
    </row>
    <row r="66" ht="12.0" customHeight="1">
      <c r="B66" s="30" t="s">
        <v>24</v>
      </c>
      <c r="C66" s="11" t="s">
        <v>181</v>
      </c>
      <c r="D66" s="12" t="s">
        <v>27</v>
      </c>
      <c r="E66" s="14" t="s">
        <v>24</v>
      </c>
      <c r="F66" s="15" t="s">
        <v>182</v>
      </c>
      <c r="G66" s="16">
        <v>2.0</v>
      </c>
      <c r="H66" s="16">
        <v>1.0</v>
      </c>
      <c r="I66" s="16">
        <v>2.0</v>
      </c>
      <c r="J66" s="16">
        <f t="shared" si="1"/>
        <v>2</v>
      </c>
      <c r="K66" s="16">
        <f t="shared" si="2"/>
        <v>2</v>
      </c>
      <c r="L66" s="16">
        <f t="shared" si="3"/>
        <v>2</v>
      </c>
      <c r="M66" s="18" t="s">
        <v>15</v>
      </c>
      <c r="N66" s="18" t="s">
        <v>15</v>
      </c>
      <c r="O66" s="18" t="s">
        <v>29</v>
      </c>
      <c r="P66" s="18" t="s">
        <v>29</v>
      </c>
      <c r="Q66" s="18"/>
      <c r="R66" s="18" t="s">
        <v>29</v>
      </c>
      <c r="S66" s="18" t="s">
        <v>30</v>
      </c>
      <c r="T66" s="19"/>
      <c r="U66" s="19"/>
    </row>
    <row r="67" ht="14.25" customHeight="1">
      <c r="B67" s="29" t="s">
        <v>24</v>
      </c>
      <c r="C67" s="11" t="s">
        <v>183</v>
      </c>
      <c r="D67" s="12" t="s">
        <v>27</v>
      </c>
      <c r="E67" s="12" t="s">
        <v>24</v>
      </c>
      <c r="F67" s="15" t="s">
        <v>184</v>
      </c>
      <c r="G67" s="16">
        <v>2.0</v>
      </c>
      <c r="H67" s="16">
        <v>1.0</v>
      </c>
      <c r="I67" s="16">
        <v>2.0</v>
      </c>
      <c r="J67" s="16">
        <f t="shared" si="1"/>
        <v>2</v>
      </c>
      <c r="K67" s="16">
        <f t="shared" si="2"/>
        <v>2</v>
      </c>
      <c r="L67" s="16">
        <f t="shared" si="3"/>
        <v>2</v>
      </c>
      <c r="M67" s="18" t="s">
        <v>15</v>
      </c>
      <c r="N67" s="18" t="s">
        <v>15</v>
      </c>
      <c r="O67" s="18" t="s">
        <v>29</v>
      </c>
      <c r="P67" s="18" t="s">
        <v>29</v>
      </c>
      <c r="Q67" s="18"/>
      <c r="R67" s="18" t="s">
        <v>29</v>
      </c>
      <c r="S67" s="18" t="s">
        <v>30</v>
      </c>
      <c r="T67" s="19"/>
      <c r="U67" s="19"/>
    </row>
    <row r="68" ht="15.75" customHeight="1">
      <c r="B68" s="29" t="s">
        <v>98</v>
      </c>
      <c r="C68" s="12" t="s">
        <v>185</v>
      </c>
      <c r="D68" s="12" t="s">
        <v>27</v>
      </c>
      <c r="E68" s="12" t="s">
        <v>33</v>
      </c>
      <c r="F68" s="21" t="s">
        <v>186</v>
      </c>
      <c r="G68" s="22">
        <v>2.0</v>
      </c>
      <c r="H68" s="22">
        <v>1.0</v>
      </c>
      <c r="I68" s="22">
        <v>1.0</v>
      </c>
      <c r="J68" s="16">
        <f t="shared" si="1"/>
        <v>1</v>
      </c>
      <c r="K68" s="16">
        <f t="shared" si="2"/>
        <v>1</v>
      </c>
      <c r="L68" s="16">
        <f t="shared" si="3"/>
        <v>1</v>
      </c>
      <c r="M68" s="18" t="s">
        <v>15</v>
      </c>
      <c r="N68" s="18" t="s">
        <v>29</v>
      </c>
      <c r="O68" s="18" t="s">
        <v>29</v>
      </c>
      <c r="P68" s="18" t="s">
        <v>29</v>
      </c>
      <c r="Q68" s="18"/>
      <c r="R68" s="18" t="s">
        <v>29</v>
      </c>
      <c r="S68" s="18" t="s">
        <v>30</v>
      </c>
      <c r="T68" s="9">
        <v>1.0</v>
      </c>
      <c r="U68" s="18" t="s">
        <v>50</v>
      </c>
    </row>
    <row r="69" ht="15.75" customHeight="1">
      <c r="B69" s="29" t="s">
        <v>187</v>
      </c>
      <c r="C69" s="12" t="s">
        <v>188</v>
      </c>
      <c r="D69" s="12" t="s">
        <v>42</v>
      </c>
      <c r="E69" s="12" t="s">
        <v>33</v>
      </c>
      <c r="F69" s="21" t="s">
        <v>189</v>
      </c>
      <c r="G69" s="22">
        <v>2.0</v>
      </c>
      <c r="H69" s="22">
        <v>1.0</v>
      </c>
      <c r="I69" s="22">
        <v>2.0</v>
      </c>
      <c r="J69" s="16">
        <f t="shared" si="1"/>
        <v>2</v>
      </c>
      <c r="K69" s="16">
        <f t="shared" si="2"/>
        <v>2</v>
      </c>
      <c r="L69" s="16">
        <f t="shared" si="3"/>
        <v>2</v>
      </c>
      <c r="M69" s="18" t="s">
        <v>15</v>
      </c>
      <c r="N69" s="18" t="s">
        <v>15</v>
      </c>
      <c r="O69" s="18" t="s">
        <v>29</v>
      </c>
      <c r="P69" s="18" t="s">
        <v>29</v>
      </c>
      <c r="Q69" s="18"/>
      <c r="R69" s="18" t="s">
        <v>29</v>
      </c>
      <c r="S69" s="18" t="s">
        <v>30</v>
      </c>
      <c r="T69" s="19"/>
      <c r="U69" s="19"/>
    </row>
    <row r="70" ht="12.0" customHeight="1">
      <c r="B70" s="29" t="s">
        <v>24</v>
      </c>
      <c r="C70" s="12" t="s">
        <v>190</v>
      </c>
      <c r="D70" s="12" t="s">
        <v>27</v>
      </c>
      <c r="E70" s="12" t="s">
        <v>24</v>
      </c>
      <c r="F70" s="15" t="s">
        <v>191</v>
      </c>
      <c r="G70" s="16">
        <v>2.0</v>
      </c>
      <c r="H70" s="16">
        <v>2.0</v>
      </c>
      <c r="I70" s="16">
        <v>2.0</v>
      </c>
      <c r="J70" s="16">
        <f t="shared" si="1"/>
        <v>2</v>
      </c>
      <c r="K70" s="16">
        <f t="shared" si="2"/>
        <v>2</v>
      </c>
      <c r="L70" s="16">
        <f t="shared" si="3"/>
        <v>2</v>
      </c>
      <c r="M70" s="18" t="s">
        <v>15</v>
      </c>
      <c r="N70" s="18" t="s">
        <v>15</v>
      </c>
      <c r="O70" s="18" t="s">
        <v>29</v>
      </c>
      <c r="P70" s="18" t="s">
        <v>29</v>
      </c>
      <c r="Q70" s="18"/>
      <c r="R70" s="18" t="s">
        <v>29</v>
      </c>
      <c r="S70" s="18" t="s">
        <v>30</v>
      </c>
      <c r="T70" s="19"/>
      <c r="U70" s="19"/>
    </row>
    <row r="71" ht="12.0" customHeight="1">
      <c r="B71" s="29" t="s">
        <v>24</v>
      </c>
      <c r="C71" s="12" t="s">
        <v>192</v>
      </c>
      <c r="D71" s="12" t="s">
        <v>27</v>
      </c>
      <c r="E71" s="12" t="s">
        <v>24</v>
      </c>
      <c r="F71" s="15" t="s">
        <v>193</v>
      </c>
      <c r="G71" s="16">
        <v>2.0</v>
      </c>
      <c r="H71" s="16">
        <v>1.0</v>
      </c>
      <c r="I71" s="16">
        <v>2.0</v>
      </c>
      <c r="J71" s="16">
        <f t="shared" si="1"/>
        <v>2</v>
      </c>
      <c r="K71" s="16">
        <f t="shared" si="2"/>
        <v>2</v>
      </c>
      <c r="L71" s="16">
        <f t="shared" si="3"/>
        <v>2</v>
      </c>
      <c r="M71" s="18" t="s">
        <v>15</v>
      </c>
      <c r="N71" s="18" t="s">
        <v>15</v>
      </c>
      <c r="O71" s="18" t="s">
        <v>29</v>
      </c>
      <c r="P71" s="18" t="s">
        <v>29</v>
      </c>
      <c r="Q71" s="18"/>
      <c r="R71" s="18" t="s">
        <v>29</v>
      </c>
      <c r="S71" s="18" t="s">
        <v>30</v>
      </c>
      <c r="T71" s="19"/>
      <c r="U71" s="19"/>
    </row>
    <row r="72" ht="15.75" customHeight="1">
      <c r="B72" s="29" t="s">
        <v>194</v>
      </c>
      <c r="C72" s="12" t="s">
        <v>195</v>
      </c>
      <c r="D72" s="12" t="s">
        <v>27</v>
      </c>
      <c r="E72" s="12" t="s">
        <v>33</v>
      </c>
      <c r="F72" s="21" t="s">
        <v>196</v>
      </c>
      <c r="G72" s="22">
        <v>2.0</v>
      </c>
      <c r="H72" s="22">
        <v>1.0</v>
      </c>
      <c r="I72" s="22">
        <v>2.0</v>
      </c>
      <c r="J72" s="16">
        <f t="shared" si="1"/>
        <v>2</v>
      </c>
      <c r="K72" s="16">
        <f t="shared" si="2"/>
        <v>2</v>
      </c>
      <c r="L72" s="16">
        <f t="shared" si="3"/>
        <v>2</v>
      </c>
      <c r="M72" s="18" t="s">
        <v>15</v>
      </c>
      <c r="N72" s="18" t="s">
        <v>15</v>
      </c>
      <c r="O72" s="18" t="s">
        <v>29</v>
      </c>
      <c r="P72" s="18" t="s">
        <v>29</v>
      </c>
      <c r="Q72" s="18" t="s">
        <v>35</v>
      </c>
      <c r="R72" s="18" t="s">
        <v>29</v>
      </c>
      <c r="S72" s="18" t="s">
        <v>30</v>
      </c>
      <c r="T72" s="19"/>
      <c r="U72" s="19"/>
    </row>
    <row r="73" ht="12.0" customHeight="1">
      <c r="B73" s="29" t="s">
        <v>24</v>
      </c>
      <c r="C73" s="11" t="s">
        <v>197</v>
      </c>
      <c r="D73" s="12" t="s">
        <v>27</v>
      </c>
      <c r="E73" s="12" t="s">
        <v>24</v>
      </c>
      <c r="F73" s="15" t="s">
        <v>198</v>
      </c>
      <c r="G73" s="16">
        <v>2.0</v>
      </c>
      <c r="H73" s="16">
        <v>1.0</v>
      </c>
      <c r="I73" s="16">
        <v>2.0</v>
      </c>
      <c r="J73" s="16">
        <f t="shared" si="1"/>
        <v>2</v>
      </c>
      <c r="K73" s="16">
        <f t="shared" si="2"/>
        <v>2</v>
      </c>
      <c r="L73" s="16">
        <f t="shared" si="3"/>
        <v>2</v>
      </c>
      <c r="M73" s="18" t="s">
        <v>15</v>
      </c>
      <c r="N73" s="18" t="s">
        <v>15</v>
      </c>
      <c r="O73" s="18" t="s">
        <v>29</v>
      </c>
      <c r="P73" s="18" t="s">
        <v>29</v>
      </c>
      <c r="Q73" s="18"/>
      <c r="R73" s="18" t="s">
        <v>29</v>
      </c>
      <c r="S73" s="18" t="s">
        <v>30</v>
      </c>
      <c r="T73" s="19"/>
      <c r="U73" s="19"/>
    </row>
    <row r="74" ht="12.0" customHeight="1">
      <c r="B74" s="29" t="s">
        <v>24</v>
      </c>
      <c r="C74" s="11" t="s">
        <v>199</v>
      </c>
      <c r="D74" s="11" t="s">
        <v>142</v>
      </c>
      <c r="E74" s="12" t="s">
        <v>24</v>
      </c>
      <c r="F74" s="15" t="s">
        <v>200</v>
      </c>
      <c r="G74" s="16">
        <v>4.0</v>
      </c>
      <c r="H74" s="16">
        <v>3.0</v>
      </c>
      <c r="I74" s="16">
        <v>3.0</v>
      </c>
      <c r="J74" s="16">
        <f t="shared" si="1"/>
        <v>3</v>
      </c>
      <c r="K74" s="16">
        <f t="shared" si="2"/>
        <v>3</v>
      </c>
      <c r="L74" s="16">
        <f t="shared" si="3"/>
        <v>3</v>
      </c>
      <c r="M74" s="18" t="s">
        <v>15</v>
      </c>
      <c r="N74" s="18" t="s">
        <v>15</v>
      </c>
      <c r="O74" s="18" t="s">
        <v>15</v>
      </c>
      <c r="P74" s="18" t="s">
        <v>29</v>
      </c>
      <c r="Q74" s="18"/>
      <c r="R74" s="18" t="s">
        <v>36</v>
      </c>
      <c r="S74" s="18" t="s">
        <v>30</v>
      </c>
      <c r="T74" s="19"/>
      <c r="U74" s="19"/>
    </row>
    <row r="75" ht="15.75" customHeight="1">
      <c r="B75" s="29" t="s">
        <v>201</v>
      </c>
      <c r="C75" s="12" t="s">
        <v>202</v>
      </c>
      <c r="D75" s="12" t="s">
        <v>42</v>
      </c>
      <c r="E75" s="12" t="s">
        <v>33</v>
      </c>
      <c r="F75" s="25" t="s">
        <v>203</v>
      </c>
      <c r="G75" s="22">
        <v>2.0</v>
      </c>
      <c r="H75" s="22">
        <v>1.0</v>
      </c>
      <c r="I75" s="22">
        <v>2.0</v>
      </c>
      <c r="J75" s="16">
        <f t="shared" si="1"/>
        <v>2</v>
      </c>
      <c r="K75" s="16">
        <f t="shared" si="2"/>
        <v>2</v>
      </c>
      <c r="L75" s="16">
        <f t="shared" si="3"/>
        <v>2</v>
      </c>
      <c r="M75" s="18" t="s">
        <v>15</v>
      </c>
      <c r="N75" s="18" t="s">
        <v>15</v>
      </c>
      <c r="O75" s="18" t="s">
        <v>29</v>
      </c>
      <c r="P75" s="18" t="s">
        <v>29</v>
      </c>
      <c r="Q75" s="18" t="s">
        <v>35</v>
      </c>
      <c r="R75" s="18" t="s">
        <v>29</v>
      </c>
      <c r="S75" s="18" t="s">
        <v>30</v>
      </c>
      <c r="T75" s="19"/>
      <c r="U75" s="19"/>
    </row>
    <row r="76" ht="15.75" customHeight="1">
      <c r="B76" s="29" t="s">
        <v>204</v>
      </c>
      <c r="C76" s="12" t="s">
        <v>205</v>
      </c>
      <c r="D76" s="12" t="s">
        <v>27</v>
      </c>
      <c r="E76" s="12" t="s">
        <v>33</v>
      </c>
      <c r="F76" s="21" t="s">
        <v>206</v>
      </c>
      <c r="G76" s="22">
        <v>2.0</v>
      </c>
      <c r="H76" s="22">
        <v>2.0</v>
      </c>
      <c r="I76" s="22">
        <v>1.0</v>
      </c>
      <c r="J76" s="16">
        <f t="shared" si="1"/>
        <v>1</v>
      </c>
      <c r="K76" s="16">
        <f t="shared" si="2"/>
        <v>1</v>
      </c>
      <c r="L76" s="16">
        <f t="shared" si="3"/>
        <v>1</v>
      </c>
      <c r="M76" s="18" t="s">
        <v>15</v>
      </c>
      <c r="N76" s="18" t="s">
        <v>29</v>
      </c>
      <c r="O76" s="18" t="s">
        <v>29</v>
      </c>
      <c r="P76" s="18" t="s">
        <v>29</v>
      </c>
      <c r="Q76" s="18"/>
      <c r="R76" s="18" t="s">
        <v>36</v>
      </c>
      <c r="S76" s="18" t="s">
        <v>30</v>
      </c>
      <c r="T76" s="19"/>
      <c r="U76" s="19"/>
    </row>
    <row r="77" ht="12.0" customHeight="1">
      <c r="B77" s="29" t="s">
        <v>24</v>
      </c>
      <c r="C77" s="12" t="s">
        <v>207</v>
      </c>
      <c r="D77" s="12" t="s">
        <v>42</v>
      </c>
      <c r="E77" s="12" t="s">
        <v>24</v>
      </c>
      <c r="F77" s="15" t="s">
        <v>208</v>
      </c>
      <c r="G77" s="16">
        <v>2.0</v>
      </c>
      <c r="H77" s="16">
        <v>1.0</v>
      </c>
      <c r="I77" s="16">
        <v>2.0</v>
      </c>
      <c r="J77" s="16">
        <f t="shared" si="1"/>
        <v>2</v>
      </c>
      <c r="K77" s="16">
        <f t="shared" si="2"/>
        <v>2</v>
      </c>
      <c r="L77" s="16">
        <f t="shared" si="3"/>
        <v>2</v>
      </c>
      <c r="M77" s="18" t="s">
        <v>15</v>
      </c>
      <c r="N77" s="18" t="s">
        <v>15</v>
      </c>
      <c r="O77" s="18" t="s">
        <v>29</v>
      </c>
      <c r="P77" s="18" t="s">
        <v>29</v>
      </c>
      <c r="Q77" s="18"/>
      <c r="R77" s="18" t="s">
        <v>29</v>
      </c>
      <c r="S77" s="18" t="s">
        <v>30</v>
      </c>
      <c r="T77" s="19"/>
      <c r="U77" s="19"/>
    </row>
    <row r="78" ht="12.0" customHeight="1">
      <c r="B78" s="29" t="s">
        <v>24</v>
      </c>
      <c r="C78" s="12" t="s">
        <v>209</v>
      </c>
      <c r="D78" s="12" t="s">
        <v>90</v>
      </c>
      <c r="E78" s="12" t="s">
        <v>24</v>
      </c>
      <c r="F78" s="15" t="s">
        <v>210</v>
      </c>
      <c r="G78" s="16">
        <v>3.0</v>
      </c>
      <c r="H78" s="16">
        <v>3.0</v>
      </c>
      <c r="I78" s="16">
        <v>2.0</v>
      </c>
      <c r="J78" s="16">
        <f t="shared" si="1"/>
        <v>2</v>
      </c>
      <c r="K78" s="16">
        <f t="shared" si="2"/>
        <v>2</v>
      </c>
      <c r="L78" s="16">
        <f t="shared" si="3"/>
        <v>2</v>
      </c>
      <c r="M78" s="18" t="s">
        <v>15</v>
      </c>
      <c r="N78" s="18" t="s">
        <v>15</v>
      </c>
      <c r="O78" s="18" t="s">
        <v>29</v>
      </c>
      <c r="P78" s="18" t="s">
        <v>29</v>
      </c>
      <c r="Q78" s="18"/>
      <c r="R78" s="18" t="s">
        <v>36</v>
      </c>
      <c r="S78" s="18" t="s">
        <v>30</v>
      </c>
      <c r="T78" s="19"/>
      <c r="U78" s="19"/>
    </row>
    <row r="79" ht="12.0" customHeight="1">
      <c r="B79" s="29" t="s">
        <v>24</v>
      </c>
      <c r="C79" s="12" t="s">
        <v>211</v>
      </c>
      <c r="D79" s="12" t="s">
        <v>27</v>
      </c>
      <c r="E79" s="12" t="s">
        <v>24</v>
      </c>
      <c r="F79" s="15" t="s">
        <v>212</v>
      </c>
      <c r="G79" s="16">
        <v>2.0</v>
      </c>
      <c r="H79" s="16">
        <v>1.0</v>
      </c>
      <c r="I79" s="16">
        <v>1.0</v>
      </c>
      <c r="J79" s="16">
        <f t="shared" si="1"/>
        <v>1</v>
      </c>
      <c r="K79" s="16">
        <f t="shared" si="2"/>
        <v>1</v>
      </c>
      <c r="L79" s="16">
        <f t="shared" si="3"/>
        <v>1</v>
      </c>
      <c r="M79" s="18" t="s">
        <v>15</v>
      </c>
      <c r="N79" s="18" t="s">
        <v>29</v>
      </c>
      <c r="O79" s="18" t="s">
        <v>29</v>
      </c>
      <c r="P79" s="18" t="s">
        <v>29</v>
      </c>
      <c r="Q79" s="18"/>
      <c r="R79" s="18" t="s">
        <v>29</v>
      </c>
      <c r="S79" s="18" t="s">
        <v>30</v>
      </c>
      <c r="T79" s="9">
        <v>1.0</v>
      </c>
      <c r="U79" s="18" t="s">
        <v>50</v>
      </c>
    </row>
    <row r="80" ht="12.0" customHeight="1">
      <c r="B80" s="29" t="s">
        <v>24</v>
      </c>
      <c r="C80" s="12" t="s">
        <v>213</v>
      </c>
      <c r="D80" s="12" t="s">
        <v>42</v>
      </c>
      <c r="E80" s="12" t="s">
        <v>24</v>
      </c>
      <c r="F80" s="24" t="s">
        <v>214</v>
      </c>
      <c r="G80" s="16">
        <v>2.0</v>
      </c>
      <c r="H80" s="16">
        <v>3.0</v>
      </c>
      <c r="I80" s="16">
        <v>2.0</v>
      </c>
      <c r="J80" s="16">
        <f t="shared" si="1"/>
        <v>2</v>
      </c>
      <c r="K80" s="16">
        <f t="shared" si="2"/>
        <v>2</v>
      </c>
      <c r="L80" s="16">
        <f t="shared" si="3"/>
        <v>2</v>
      </c>
      <c r="M80" s="18" t="s">
        <v>15</v>
      </c>
      <c r="N80" s="18" t="s">
        <v>15</v>
      </c>
      <c r="O80" s="18" t="s">
        <v>29</v>
      </c>
      <c r="P80" s="18" t="s">
        <v>29</v>
      </c>
      <c r="Q80" s="18"/>
      <c r="R80" s="18" t="s">
        <v>29</v>
      </c>
      <c r="S80" s="18" t="s">
        <v>30</v>
      </c>
      <c r="T80" s="19"/>
      <c r="U80" s="19"/>
    </row>
    <row r="81" ht="15.75" customHeight="1">
      <c r="B81" s="29" t="s">
        <v>204</v>
      </c>
      <c r="C81" s="12" t="s">
        <v>215</v>
      </c>
      <c r="D81" s="12" t="s">
        <v>27</v>
      </c>
      <c r="E81" s="12" t="s">
        <v>33</v>
      </c>
      <c r="F81" s="24" t="s">
        <v>216</v>
      </c>
      <c r="G81" s="16">
        <v>1.0</v>
      </c>
      <c r="H81" s="22">
        <v>0.0</v>
      </c>
      <c r="I81" s="16">
        <v>1.0</v>
      </c>
      <c r="J81" s="16">
        <f t="shared" si="1"/>
        <v>1</v>
      </c>
      <c r="K81" s="16">
        <f t="shared" si="2"/>
        <v>1</v>
      </c>
      <c r="L81" s="16">
        <f t="shared" si="3"/>
        <v>1</v>
      </c>
      <c r="M81" s="18" t="s">
        <v>15</v>
      </c>
      <c r="N81" s="18" t="s">
        <v>15</v>
      </c>
      <c r="O81" s="18" t="s">
        <v>29</v>
      </c>
      <c r="P81" s="18" t="s">
        <v>29</v>
      </c>
      <c r="Q81" s="18"/>
      <c r="R81" s="18" t="s">
        <v>29</v>
      </c>
      <c r="S81" s="18" t="s">
        <v>30</v>
      </c>
      <c r="T81" s="19"/>
      <c r="U81" s="19"/>
    </row>
    <row r="82" ht="12.0" customHeight="1">
      <c r="B82" s="29" t="s">
        <v>24</v>
      </c>
      <c r="C82" s="12" t="s">
        <v>217</v>
      </c>
      <c r="D82" s="12" t="s">
        <v>27</v>
      </c>
      <c r="E82" s="12" t="s">
        <v>24</v>
      </c>
      <c r="F82" s="24" t="s">
        <v>218</v>
      </c>
      <c r="G82" s="16">
        <v>1.0</v>
      </c>
      <c r="H82" s="16">
        <v>0.0</v>
      </c>
      <c r="I82" s="16">
        <v>1.0</v>
      </c>
      <c r="J82" s="16">
        <f t="shared" si="1"/>
        <v>1</v>
      </c>
      <c r="K82" s="16">
        <f t="shared" si="2"/>
        <v>1</v>
      </c>
      <c r="L82" s="16">
        <f t="shared" si="3"/>
        <v>1</v>
      </c>
      <c r="M82" s="18" t="s">
        <v>15</v>
      </c>
      <c r="N82" s="18" t="s">
        <v>29</v>
      </c>
      <c r="O82" s="18" t="s">
        <v>29</v>
      </c>
      <c r="P82" s="18" t="s">
        <v>29</v>
      </c>
      <c r="Q82" s="18"/>
      <c r="R82" s="18" t="s">
        <v>29</v>
      </c>
      <c r="S82" s="18" t="s">
        <v>30</v>
      </c>
      <c r="T82" s="19"/>
      <c r="U82" s="19"/>
    </row>
    <row r="83" ht="15.75" customHeight="1">
      <c r="B83" s="29" t="s">
        <v>77</v>
      </c>
      <c r="C83" s="12" t="s">
        <v>219</v>
      </c>
      <c r="D83" s="12" t="s">
        <v>27</v>
      </c>
      <c r="E83" s="12" t="s">
        <v>33</v>
      </c>
      <c r="F83" s="24" t="s">
        <v>220</v>
      </c>
      <c r="G83" s="16">
        <v>1.0</v>
      </c>
      <c r="H83" s="22">
        <v>0.0</v>
      </c>
      <c r="I83" s="16">
        <v>1.0</v>
      </c>
      <c r="J83" s="16">
        <f t="shared" si="1"/>
        <v>1</v>
      </c>
      <c r="K83" s="16">
        <f t="shared" si="2"/>
        <v>1</v>
      </c>
      <c r="L83" s="16">
        <f t="shared" si="3"/>
        <v>1</v>
      </c>
      <c r="M83" s="18" t="s">
        <v>15</v>
      </c>
      <c r="N83" s="18" t="s">
        <v>29</v>
      </c>
      <c r="O83" s="18" t="s">
        <v>29</v>
      </c>
      <c r="P83" s="18" t="s">
        <v>29</v>
      </c>
      <c r="Q83" s="18"/>
      <c r="R83" s="18" t="s">
        <v>29</v>
      </c>
      <c r="S83" s="18" t="s">
        <v>30</v>
      </c>
      <c r="T83" s="19"/>
      <c r="U83" s="19"/>
    </row>
    <row r="84" ht="12.0" customHeight="1">
      <c r="B84" s="29" t="s">
        <v>24</v>
      </c>
      <c r="C84" s="12" t="s">
        <v>221</v>
      </c>
      <c r="D84" s="12" t="s">
        <v>27</v>
      </c>
      <c r="E84" s="12" t="s">
        <v>24</v>
      </c>
      <c r="F84" s="24" t="s">
        <v>222</v>
      </c>
      <c r="G84" s="16">
        <v>1.0</v>
      </c>
      <c r="H84" s="16">
        <v>0.0</v>
      </c>
      <c r="I84" s="16">
        <v>1.0</v>
      </c>
      <c r="J84" s="16">
        <f t="shared" si="1"/>
        <v>1</v>
      </c>
      <c r="K84" s="16">
        <f t="shared" si="2"/>
        <v>1</v>
      </c>
      <c r="L84" s="16">
        <f t="shared" si="3"/>
        <v>1</v>
      </c>
      <c r="M84" s="18" t="s">
        <v>15</v>
      </c>
      <c r="N84" s="18" t="s">
        <v>29</v>
      </c>
      <c r="O84" s="18" t="s">
        <v>29</v>
      </c>
      <c r="P84" s="18" t="s">
        <v>29</v>
      </c>
      <c r="Q84" s="18" t="s">
        <v>29</v>
      </c>
      <c r="R84" s="18" t="s">
        <v>29</v>
      </c>
      <c r="S84" s="18" t="s">
        <v>30</v>
      </c>
      <c r="T84" s="19"/>
      <c r="U84" s="19"/>
    </row>
    <row r="85" ht="12.0" customHeight="1">
      <c r="B85" s="29" t="s">
        <v>24</v>
      </c>
      <c r="C85" s="12" t="s">
        <v>223</v>
      </c>
      <c r="D85" s="12" t="s">
        <v>27</v>
      </c>
      <c r="E85" s="12" t="s">
        <v>24</v>
      </c>
      <c r="F85" s="21" t="s">
        <v>224</v>
      </c>
      <c r="G85" s="16">
        <v>2.0</v>
      </c>
      <c r="H85" s="16">
        <v>0.0</v>
      </c>
      <c r="I85" s="16">
        <v>2.0</v>
      </c>
      <c r="J85" s="16">
        <v>0.0</v>
      </c>
      <c r="K85" s="16">
        <v>0.0</v>
      </c>
      <c r="L85" s="16">
        <v>0.0</v>
      </c>
      <c r="M85" s="18" t="s">
        <v>15</v>
      </c>
      <c r="N85" s="18" t="s">
        <v>15</v>
      </c>
      <c r="O85" s="18" t="s">
        <v>29</v>
      </c>
      <c r="P85" s="18" t="s">
        <v>29</v>
      </c>
      <c r="Q85" s="18"/>
      <c r="R85" s="18" t="s">
        <v>36</v>
      </c>
      <c r="S85" s="18" t="s">
        <v>30</v>
      </c>
      <c r="T85" s="9">
        <v>1.0</v>
      </c>
      <c r="U85" s="18" t="s">
        <v>225</v>
      </c>
    </row>
    <row r="86" ht="12.0" customHeight="1">
      <c r="B86" s="29" t="s">
        <v>24</v>
      </c>
      <c r="C86" s="12" t="s">
        <v>226</v>
      </c>
      <c r="D86" s="12" t="s">
        <v>42</v>
      </c>
      <c r="E86" s="12" t="s">
        <v>24</v>
      </c>
      <c r="F86" s="15" t="s">
        <v>227</v>
      </c>
      <c r="G86" s="16">
        <v>2.0</v>
      </c>
      <c r="H86" s="16">
        <v>1.0</v>
      </c>
      <c r="I86" s="16">
        <v>2.0</v>
      </c>
      <c r="J86" s="16">
        <f t="shared" ref="J86:J141" si="4">I86</f>
        <v>2</v>
      </c>
      <c r="K86" s="16">
        <f t="shared" ref="K86:K141" si="5">I86</f>
        <v>2</v>
      </c>
      <c r="L86" s="16">
        <f t="shared" ref="L86:L141" si="6">I86</f>
        <v>2</v>
      </c>
      <c r="M86" s="18" t="s">
        <v>15</v>
      </c>
      <c r="N86" s="18" t="s">
        <v>15</v>
      </c>
      <c r="O86" s="18" t="s">
        <v>29</v>
      </c>
      <c r="P86" s="18" t="s">
        <v>29</v>
      </c>
      <c r="Q86" s="18"/>
      <c r="R86" s="18" t="s">
        <v>29</v>
      </c>
      <c r="S86" s="18" t="s">
        <v>30</v>
      </c>
      <c r="T86" s="19"/>
      <c r="U86" s="19"/>
    </row>
    <row r="87" ht="12.0" customHeight="1">
      <c r="B87" s="29" t="s">
        <v>24</v>
      </c>
      <c r="C87" s="12" t="s">
        <v>228</v>
      </c>
      <c r="D87" s="12" t="s">
        <v>90</v>
      </c>
      <c r="E87" s="12" t="s">
        <v>24</v>
      </c>
      <c r="F87" s="15" t="s">
        <v>229</v>
      </c>
      <c r="G87" s="16">
        <v>3.0</v>
      </c>
      <c r="H87" s="16">
        <v>4.0</v>
      </c>
      <c r="I87" s="16">
        <v>3.0</v>
      </c>
      <c r="J87" s="16">
        <f t="shared" si="4"/>
        <v>3</v>
      </c>
      <c r="K87" s="16">
        <f t="shared" si="5"/>
        <v>3</v>
      </c>
      <c r="L87" s="16">
        <f t="shared" si="6"/>
        <v>3</v>
      </c>
      <c r="M87" s="18" t="s">
        <v>15</v>
      </c>
      <c r="N87" s="18" t="s">
        <v>15</v>
      </c>
      <c r="O87" s="18" t="s">
        <v>15</v>
      </c>
      <c r="P87" s="18" t="s">
        <v>29</v>
      </c>
      <c r="Q87" s="18"/>
      <c r="R87" s="26" t="s">
        <v>36</v>
      </c>
      <c r="S87" s="18" t="s">
        <v>30</v>
      </c>
      <c r="T87" s="19"/>
      <c r="U87" s="19"/>
    </row>
    <row r="88" ht="15.75" customHeight="1">
      <c r="B88" s="29" t="s">
        <v>176</v>
      </c>
      <c r="C88" s="12" t="s">
        <v>230</v>
      </c>
      <c r="D88" s="12" t="s">
        <v>42</v>
      </c>
      <c r="E88" s="12" t="s">
        <v>33</v>
      </c>
      <c r="F88" s="21" t="s">
        <v>231</v>
      </c>
      <c r="G88" s="22">
        <v>2.0</v>
      </c>
      <c r="H88" s="22">
        <v>2.0</v>
      </c>
      <c r="I88" s="22">
        <v>2.0</v>
      </c>
      <c r="J88" s="16">
        <f t="shared" si="4"/>
        <v>2</v>
      </c>
      <c r="K88" s="16">
        <f t="shared" si="5"/>
        <v>2</v>
      </c>
      <c r="L88" s="16">
        <f t="shared" si="6"/>
        <v>2</v>
      </c>
      <c r="M88" s="18" t="s">
        <v>15</v>
      </c>
      <c r="N88" s="18" t="s">
        <v>15</v>
      </c>
      <c r="O88" s="18" t="s">
        <v>29</v>
      </c>
      <c r="P88" s="18" t="s">
        <v>29</v>
      </c>
      <c r="Q88" s="18"/>
      <c r="R88" s="18" t="s">
        <v>29</v>
      </c>
      <c r="S88" s="18" t="s">
        <v>30</v>
      </c>
      <c r="T88" s="19"/>
      <c r="U88" s="19"/>
    </row>
    <row r="89" ht="12.0" customHeight="1">
      <c r="B89" s="29" t="s">
        <v>24</v>
      </c>
      <c r="C89" s="12" t="s">
        <v>232</v>
      </c>
      <c r="D89" s="12" t="s">
        <v>42</v>
      </c>
      <c r="E89" s="12" t="s">
        <v>24</v>
      </c>
      <c r="F89" s="15" t="s">
        <v>233</v>
      </c>
      <c r="G89" s="16">
        <v>2.0</v>
      </c>
      <c r="H89" s="16">
        <v>1.0</v>
      </c>
      <c r="I89" s="16">
        <v>2.0</v>
      </c>
      <c r="J89" s="16">
        <f t="shared" si="4"/>
        <v>2</v>
      </c>
      <c r="K89" s="16">
        <f t="shared" si="5"/>
        <v>2</v>
      </c>
      <c r="L89" s="16">
        <f t="shared" si="6"/>
        <v>2</v>
      </c>
      <c r="M89" s="18" t="s">
        <v>15</v>
      </c>
      <c r="N89" s="18" t="s">
        <v>15</v>
      </c>
      <c r="O89" s="18" t="s">
        <v>29</v>
      </c>
      <c r="P89" s="18" t="s">
        <v>29</v>
      </c>
      <c r="Q89" s="18"/>
      <c r="R89" s="18" t="s">
        <v>29</v>
      </c>
      <c r="S89" s="18" t="s">
        <v>30</v>
      </c>
      <c r="T89" s="19"/>
      <c r="U89" s="19"/>
    </row>
    <row r="90" ht="12.0" customHeight="1">
      <c r="B90" s="29" t="s">
        <v>24</v>
      </c>
      <c r="C90" s="11" t="s">
        <v>234</v>
      </c>
      <c r="D90" s="12" t="s">
        <v>27</v>
      </c>
      <c r="E90" s="12" t="s">
        <v>24</v>
      </c>
      <c r="F90" s="24" t="s">
        <v>235</v>
      </c>
      <c r="G90" s="16">
        <v>2.0</v>
      </c>
      <c r="H90" s="16">
        <v>1.0</v>
      </c>
      <c r="I90" s="16">
        <v>2.0</v>
      </c>
      <c r="J90" s="16">
        <f t="shared" si="4"/>
        <v>2</v>
      </c>
      <c r="K90" s="16">
        <f t="shared" si="5"/>
        <v>2</v>
      </c>
      <c r="L90" s="16">
        <f t="shared" si="6"/>
        <v>2</v>
      </c>
      <c r="M90" s="18" t="s">
        <v>15</v>
      </c>
      <c r="N90" s="18" t="s">
        <v>15</v>
      </c>
      <c r="O90" s="18" t="s">
        <v>29</v>
      </c>
      <c r="P90" s="18" t="s">
        <v>29</v>
      </c>
      <c r="Q90" s="18"/>
      <c r="R90" s="18" t="s">
        <v>29</v>
      </c>
      <c r="S90" s="18" t="s">
        <v>30</v>
      </c>
      <c r="T90" s="19"/>
      <c r="U90" s="19"/>
    </row>
    <row r="91" ht="15.75" customHeight="1">
      <c r="B91" s="29" t="s">
        <v>236</v>
      </c>
      <c r="C91" s="12" t="s">
        <v>237</v>
      </c>
      <c r="D91" s="12" t="s">
        <v>27</v>
      </c>
      <c r="E91" s="12" t="s">
        <v>33</v>
      </c>
      <c r="F91" s="25" t="s">
        <v>238</v>
      </c>
      <c r="G91" s="22">
        <v>2.0</v>
      </c>
      <c r="H91" s="22">
        <v>1.0</v>
      </c>
      <c r="I91" s="22">
        <v>2.0</v>
      </c>
      <c r="J91" s="16">
        <f t="shared" si="4"/>
        <v>2</v>
      </c>
      <c r="K91" s="16">
        <f t="shared" si="5"/>
        <v>2</v>
      </c>
      <c r="L91" s="16">
        <f t="shared" si="6"/>
        <v>2</v>
      </c>
      <c r="M91" s="18" t="s">
        <v>15</v>
      </c>
      <c r="N91" s="18" t="s">
        <v>15</v>
      </c>
      <c r="O91" s="18" t="s">
        <v>29</v>
      </c>
      <c r="P91" s="18" t="s">
        <v>29</v>
      </c>
      <c r="Q91" s="18" t="s">
        <v>35</v>
      </c>
      <c r="R91" s="18" t="s">
        <v>29</v>
      </c>
      <c r="S91" s="18" t="s">
        <v>30</v>
      </c>
      <c r="T91" s="19"/>
      <c r="U91" s="19"/>
    </row>
    <row r="92" ht="15.75" customHeight="1">
      <c r="B92" s="29" t="s">
        <v>64</v>
      </c>
      <c r="C92" s="12" t="s">
        <v>239</v>
      </c>
      <c r="D92" s="12" t="s">
        <v>27</v>
      </c>
      <c r="E92" s="12" t="s">
        <v>33</v>
      </c>
      <c r="F92" s="21" t="s">
        <v>240</v>
      </c>
      <c r="G92" s="22">
        <v>1.0</v>
      </c>
      <c r="H92" s="22">
        <v>1.0</v>
      </c>
      <c r="I92" s="22">
        <v>1.0</v>
      </c>
      <c r="J92" s="16">
        <f t="shared" si="4"/>
        <v>1</v>
      </c>
      <c r="K92" s="16">
        <f t="shared" si="5"/>
        <v>1</v>
      </c>
      <c r="L92" s="16">
        <f t="shared" si="6"/>
        <v>1</v>
      </c>
      <c r="M92" s="18" t="s">
        <v>15</v>
      </c>
      <c r="N92" s="18" t="s">
        <v>29</v>
      </c>
      <c r="O92" s="18" t="s">
        <v>29</v>
      </c>
      <c r="P92" s="18" t="s">
        <v>29</v>
      </c>
      <c r="Q92" s="18"/>
      <c r="R92" s="18" t="s">
        <v>29</v>
      </c>
      <c r="S92" s="18" t="s">
        <v>30</v>
      </c>
      <c r="T92" s="19"/>
      <c r="U92" s="19"/>
    </row>
    <row r="93" ht="12.0" customHeight="1">
      <c r="B93" s="29" t="s">
        <v>24</v>
      </c>
      <c r="C93" s="11" t="s">
        <v>241</v>
      </c>
      <c r="D93" s="12" t="s">
        <v>90</v>
      </c>
      <c r="E93" s="12" t="s">
        <v>24</v>
      </c>
      <c r="F93" s="15" t="s">
        <v>242</v>
      </c>
      <c r="G93" s="16">
        <v>3.0</v>
      </c>
      <c r="H93" s="16">
        <v>5.0</v>
      </c>
      <c r="I93" s="16">
        <v>2.0</v>
      </c>
      <c r="J93" s="16">
        <f t="shared" si="4"/>
        <v>2</v>
      </c>
      <c r="K93" s="16">
        <f t="shared" si="5"/>
        <v>2</v>
      </c>
      <c r="L93" s="16">
        <f t="shared" si="6"/>
        <v>2</v>
      </c>
      <c r="M93" s="18" t="s">
        <v>15</v>
      </c>
      <c r="N93" s="18" t="s">
        <v>15</v>
      </c>
      <c r="O93" s="18" t="s">
        <v>29</v>
      </c>
      <c r="P93" s="18" t="s">
        <v>29</v>
      </c>
      <c r="Q93" s="18"/>
      <c r="R93" s="18" t="s">
        <v>36</v>
      </c>
      <c r="S93" s="18" t="s">
        <v>30</v>
      </c>
      <c r="T93" s="19"/>
      <c r="U93" s="19"/>
    </row>
    <row r="94" ht="15.75" customHeight="1">
      <c r="B94" s="29" t="s">
        <v>77</v>
      </c>
      <c r="C94" s="12" t="s">
        <v>243</v>
      </c>
      <c r="D94" s="12" t="s">
        <v>27</v>
      </c>
      <c r="E94" s="12" t="s">
        <v>33</v>
      </c>
      <c r="F94" s="21" t="s">
        <v>244</v>
      </c>
      <c r="G94" s="22">
        <v>1.0</v>
      </c>
      <c r="H94" s="22">
        <v>1.0</v>
      </c>
      <c r="I94" s="22">
        <v>1.0</v>
      </c>
      <c r="J94" s="16">
        <f t="shared" si="4"/>
        <v>1</v>
      </c>
      <c r="K94" s="16">
        <f t="shared" si="5"/>
        <v>1</v>
      </c>
      <c r="L94" s="16">
        <f t="shared" si="6"/>
        <v>1</v>
      </c>
      <c r="M94" s="18" t="s">
        <v>15</v>
      </c>
      <c r="N94" s="18" t="s">
        <v>29</v>
      </c>
      <c r="O94" s="18" t="s">
        <v>29</v>
      </c>
      <c r="P94" s="18" t="s">
        <v>29</v>
      </c>
      <c r="Q94" s="18"/>
      <c r="R94" s="18" t="s">
        <v>29</v>
      </c>
      <c r="S94" s="18" t="s">
        <v>30</v>
      </c>
      <c r="T94" s="19"/>
      <c r="U94" s="19"/>
    </row>
    <row r="95" ht="12.0" customHeight="1">
      <c r="B95" s="29" t="s">
        <v>24</v>
      </c>
      <c r="C95" s="11" t="s">
        <v>245</v>
      </c>
      <c r="D95" s="12" t="s">
        <v>27</v>
      </c>
      <c r="E95" s="12" t="s">
        <v>24</v>
      </c>
      <c r="F95" s="24" t="s">
        <v>246</v>
      </c>
      <c r="G95" s="16">
        <v>1.0</v>
      </c>
      <c r="H95" s="16">
        <v>1.0</v>
      </c>
      <c r="I95" s="16">
        <v>1.0</v>
      </c>
      <c r="J95" s="16">
        <f t="shared" si="4"/>
        <v>1</v>
      </c>
      <c r="K95" s="16">
        <f t="shared" si="5"/>
        <v>1</v>
      </c>
      <c r="L95" s="16">
        <f t="shared" si="6"/>
        <v>1</v>
      </c>
      <c r="M95" s="18" t="s">
        <v>15</v>
      </c>
      <c r="N95" s="18" t="s">
        <v>29</v>
      </c>
      <c r="O95" s="18" t="s">
        <v>29</v>
      </c>
      <c r="P95" s="18" t="s">
        <v>29</v>
      </c>
      <c r="Q95" s="18"/>
      <c r="R95" s="18" t="s">
        <v>29</v>
      </c>
      <c r="S95" s="18" t="s">
        <v>30</v>
      </c>
      <c r="T95" s="19"/>
      <c r="U95" s="19"/>
    </row>
    <row r="96" ht="15.75" customHeight="1">
      <c r="B96" s="29" t="s">
        <v>247</v>
      </c>
      <c r="C96" s="12" t="s">
        <v>248</v>
      </c>
      <c r="D96" s="12" t="s">
        <v>27</v>
      </c>
      <c r="E96" s="12" t="s">
        <v>33</v>
      </c>
      <c r="F96" s="21" t="s">
        <v>249</v>
      </c>
      <c r="G96" s="22">
        <v>2.0</v>
      </c>
      <c r="H96" s="22">
        <v>1.0</v>
      </c>
      <c r="I96" s="22">
        <v>1.0</v>
      </c>
      <c r="J96" s="16">
        <f t="shared" si="4"/>
        <v>1</v>
      </c>
      <c r="K96" s="16">
        <f t="shared" si="5"/>
        <v>1</v>
      </c>
      <c r="L96" s="16">
        <f t="shared" si="6"/>
        <v>1</v>
      </c>
      <c r="M96" s="18" t="s">
        <v>15</v>
      </c>
      <c r="N96" s="18" t="s">
        <v>29</v>
      </c>
      <c r="O96" s="18" t="s">
        <v>29</v>
      </c>
      <c r="P96" s="18" t="s">
        <v>29</v>
      </c>
      <c r="Q96" s="18" t="s">
        <v>35</v>
      </c>
      <c r="R96" s="18" t="s">
        <v>36</v>
      </c>
      <c r="S96" s="18" t="s">
        <v>30</v>
      </c>
      <c r="T96" s="19"/>
      <c r="U96" s="19"/>
    </row>
    <row r="97" ht="15.75" customHeight="1">
      <c r="B97" s="29" t="s">
        <v>40</v>
      </c>
      <c r="C97" s="12" t="s">
        <v>250</v>
      </c>
      <c r="D97" s="12" t="s">
        <v>27</v>
      </c>
      <c r="E97" s="12" t="s">
        <v>33</v>
      </c>
      <c r="F97" s="21" t="s">
        <v>251</v>
      </c>
      <c r="G97" s="22">
        <v>1.0</v>
      </c>
      <c r="H97" s="22">
        <v>1.0</v>
      </c>
      <c r="I97" s="22">
        <v>1.0</v>
      </c>
      <c r="J97" s="16">
        <f t="shared" si="4"/>
        <v>1</v>
      </c>
      <c r="K97" s="16">
        <f t="shared" si="5"/>
        <v>1</v>
      </c>
      <c r="L97" s="16">
        <f t="shared" si="6"/>
        <v>1</v>
      </c>
      <c r="M97" s="18" t="s">
        <v>15</v>
      </c>
      <c r="N97" s="18" t="s">
        <v>29</v>
      </c>
      <c r="O97" s="18" t="s">
        <v>29</v>
      </c>
      <c r="P97" s="18" t="s">
        <v>29</v>
      </c>
      <c r="Q97" s="18"/>
      <c r="R97" s="18" t="s">
        <v>29</v>
      </c>
      <c r="S97" s="18" t="s">
        <v>30</v>
      </c>
      <c r="T97" s="19"/>
      <c r="U97" s="19"/>
    </row>
    <row r="98" ht="15.75" customHeight="1">
      <c r="B98" s="29" t="s">
        <v>252</v>
      </c>
      <c r="C98" s="12" t="s">
        <v>253</v>
      </c>
      <c r="D98" s="12" t="s">
        <v>27</v>
      </c>
      <c r="E98" s="12" t="s">
        <v>33</v>
      </c>
      <c r="F98" s="21" t="s">
        <v>254</v>
      </c>
      <c r="G98" s="22">
        <v>2.0</v>
      </c>
      <c r="H98" s="22">
        <v>1.0</v>
      </c>
      <c r="I98" s="22">
        <v>2.0</v>
      </c>
      <c r="J98" s="16">
        <f t="shared" si="4"/>
        <v>2</v>
      </c>
      <c r="K98" s="16">
        <f t="shared" si="5"/>
        <v>2</v>
      </c>
      <c r="L98" s="16">
        <f t="shared" si="6"/>
        <v>2</v>
      </c>
      <c r="M98" s="18" t="s">
        <v>15</v>
      </c>
      <c r="N98" s="18" t="s">
        <v>15</v>
      </c>
      <c r="O98" s="18" t="s">
        <v>29</v>
      </c>
      <c r="P98" s="18" t="s">
        <v>29</v>
      </c>
      <c r="Q98" s="18" t="s">
        <v>35</v>
      </c>
      <c r="R98" s="18" t="s">
        <v>29</v>
      </c>
      <c r="S98" s="18" t="s">
        <v>30</v>
      </c>
      <c r="T98" s="19"/>
      <c r="U98" s="19"/>
    </row>
    <row r="99" ht="12.0" customHeight="1">
      <c r="B99" s="29" t="s">
        <v>24</v>
      </c>
      <c r="C99" s="12" t="s">
        <v>255</v>
      </c>
      <c r="D99" s="12" t="s">
        <v>27</v>
      </c>
      <c r="E99" s="12" t="s">
        <v>24</v>
      </c>
      <c r="F99" s="15" t="s">
        <v>256</v>
      </c>
      <c r="G99" s="16">
        <v>2.0</v>
      </c>
      <c r="H99" s="16">
        <v>2.0</v>
      </c>
      <c r="I99" s="16">
        <v>1.0</v>
      </c>
      <c r="J99" s="16">
        <f t="shared" si="4"/>
        <v>1</v>
      </c>
      <c r="K99" s="16">
        <f t="shared" si="5"/>
        <v>1</v>
      </c>
      <c r="L99" s="16">
        <f t="shared" si="6"/>
        <v>1</v>
      </c>
      <c r="M99" s="18" t="s">
        <v>15</v>
      </c>
      <c r="N99" s="18" t="s">
        <v>29</v>
      </c>
      <c r="O99" s="18" t="s">
        <v>29</v>
      </c>
      <c r="P99" s="18" t="s">
        <v>29</v>
      </c>
      <c r="Q99" s="18"/>
      <c r="R99" s="18" t="s">
        <v>29</v>
      </c>
      <c r="S99" s="18" t="s">
        <v>30</v>
      </c>
      <c r="T99" s="19"/>
      <c r="U99" s="19"/>
    </row>
    <row r="100" ht="15.75" customHeight="1">
      <c r="B100" s="29" t="s">
        <v>187</v>
      </c>
      <c r="C100" s="12" t="s">
        <v>257</v>
      </c>
      <c r="D100" s="12" t="s">
        <v>27</v>
      </c>
      <c r="E100" s="12" t="s">
        <v>33</v>
      </c>
      <c r="F100" s="21" t="s">
        <v>258</v>
      </c>
      <c r="G100" s="22">
        <v>1.0</v>
      </c>
      <c r="H100" s="22">
        <v>1.0</v>
      </c>
      <c r="I100" s="22">
        <v>1.0</v>
      </c>
      <c r="J100" s="16">
        <f t="shared" si="4"/>
        <v>1</v>
      </c>
      <c r="K100" s="16">
        <f t="shared" si="5"/>
        <v>1</v>
      </c>
      <c r="L100" s="16">
        <f t="shared" si="6"/>
        <v>1</v>
      </c>
      <c r="M100" s="18" t="s">
        <v>15</v>
      </c>
      <c r="N100" s="18" t="s">
        <v>29</v>
      </c>
      <c r="O100" s="18" t="s">
        <v>29</v>
      </c>
      <c r="P100" s="18" t="s">
        <v>29</v>
      </c>
      <c r="Q100" s="18"/>
      <c r="R100" s="18" t="s">
        <v>29</v>
      </c>
      <c r="S100" s="18" t="s">
        <v>30</v>
      </c>
      <c r="T100" s="19"/>
      <c r="U100" s="19"/>
    </row>
    <row r="101" ht="15.75" customHeight="1">
      <c r="B101" s="29" t="s">
        <v>98</v>
      </c>
      <c r="C101" s="12" t="s">
        <v>259</v>
      </c>
      <c r="D101" s="12" t="s">
        <v>27</v>
      </c>
      <c r="E101" s="12" t="s">
        <v>33</v>
      </c>
      <c r="F101" s="21" t="s">
        <v>260</v>
      </c>
      <c r="G101" s="22">
        <v>2.0</v>
      </c>
      <c r="H101" s="22">
        <v>2.0</v>
      </c>
      <c r="I101" s="22">
        <v>1.0</v>
      </c>
      <c r="J101" s="16">
        <f t="shared" si="4"/>
        <v>1</v>
      </c>
      <c r="K101" s="16">
        <f t="shared" si="5"/>
        <v>1</v>
      </c>
      <c r="L101" s="16">
        <f t="shared" si="6"/>
        <v>1</v>
      </c>
      <c r="M101" s="18" t="s">
        <v>15</v>
      </c>
      <c r="N101" s="18" t="s">
        <v>29</v>
      </c>
      <c r="O101" s="18" t="s">
        <v>29</v>
      </c>
      <c r="P101" s="18" t="s">
        <v>29</v>
      </c>
      <c r="Q101" s="18"/>
      <c r="R101" s="18" t="s">
        <v>29</v>
      </c>
      <c r="S101" s="18" t="s">
        <v>30</v>
      </c>
      <c r="T101" s="9">
        <v>1.0</v>
      </c>
      <c r="U101" s="18" t="s">
        <v>50</v>
      </c>
    </row>
    <row r="102" ht="12.0" customHeight="1">
      <c r="B102" s="29" t="s">
        <v>24</v>
      </c>
      <c r="C102" s="12" t="s">
        <v>261</v>
      </c>
      <c r="D102" s="12" t="s">
        <v>27</v>
      </c>
      <c r="E102" s="12" t="s">
        <v>24</v>
      </c>
      <c r="F102" s="15" t="s">
        <v>262</v>
      </c>
      <c r="G102" s="16">
        <v>2.0</v>
      </c>
      <c r="H102" s="16">
        <v>2.0</v>
      </c>
      <c r="I102" s="16">
        <v>2.0</v>
      </c>
      <c r="J102" s="16">
        <f t="shared" si="4"/>
        <v>2</v>
      </c>
      <c r="K102" s="16">
        <f t="shared" si="5"/>
        <v>2</v>
      </c>
      <c r="L102" s="16">
        <f t="shared" si="6"/>
        <v>2</v>
      </c>
      <c r="M102" s="18" t="s">
        <v>15</v>
      </c>
      <c r="N102" s="18" t="s">
        <v>15</v>
      </c>
      <c r="O102" s="18" t="s">
        <v>29</v>
      </c>
      <c r="P102" s="18" t="s">
        <v>29</v>
      </c>
      <c r="Q102" s="18"/>
      <c r="R102" s="18" t="s">
        <v>29</v>
      </c>
      <c r="S102" s="18" t="s">
        <v>30</v>
      </c>
      <c r="T102" s="19"/>
      <c r="U102" s="19"/>
    </row>
    <row r="103" ht="15.75" customHeight="1">
      <c r="B103" s="29" t="s">
        <v>40</v>
      </c>
      <c r="C103" s="12" t="s">
        <v>263</v>
      </c>
      <c r="D103" s="12" t="s">
        <v>27</v>
      </c>
      <c r="E103" s="12" t="s">
        <v>33</v>
      </c>
      <c r="F103" s="21" t="s">
        <v>264</v>
      </c>
      <c r="G103" s="22">
        <v>2.0</v>
      </c>
      <c r="H103" s="22">
        <v>2.0</v>
      </c>
      <c r="I103" s="22">
        <v>1.0</v>
      </c>
      <c r="J103" s="16">
        <f t="shared" si="4"/>
        <v>1</v>
      </c>
      <c r="K103" s="16">
        <f t="shared" si="5"/>
        <v>1</v>
      </c>
      <c r="L103" s="16">
        <f t="shared" si="6"/>
        <v>1</v>
      </c>
      <c r="M103" s="18" t="s">
        <v>15</v>
      </c>
      <c r="N103" s="18" t="s">
        <v>29</v>
      </c>
      <c r="O103" s="18" t="s">
        <v>29</v>
      </c>
      <c r="P103" s="18" t="s">
        <v>29</v>
      </c>
      <c r="Q103" s="18"/>
      <c r="R103" s="18" t="s">
        <v>29</v>
      </c>
      <c r="S103" s="18" t="s">
        <v>30</v>
      </c>
      <c r="T103" s="19"/>
      <c r="U103" s="19"/>
    </row>
    <row r="104" ht="12.0" customHeight="1">
      <c r="B104" s="29" t="s">
        <v>24</v>
      </c>
      <c r="C104" s="12" t="s">
        <v>265</v>
      </c>
      <c r="D104" s="12" t="s">
        <v>42</v>
      </c>
      <c r="E104" s="12" t="s">
        <v>24</v>
      </c>
      <c r="F104" s="21" t="s">
        <v>266</v>
      </c>
      <c r="G104" s="16">
        <v>2.0</v>
      </c>
      <c r="H104" s="16">
        <v>3.0</v>
      </c>
      <c r="I104" s="16">
        <v>2.0</v>
      </c>
      <c r="J104" s="16">
        <f t="shared" si="4"/>
        <v>2</v>
      </c>
      <c r="K104" s="16">
        <f t="shared" si="5"/>
        <v>2</v>
      </c>
      <c r="L104" s="16">
        <f t="shared" si="6"/>
        <v>2</v>
      </c>
      <c r="M104" s="18" t="s">
        <v>15</v>
      </c>
      <c r="N104" s="18" t="s">
        <v>15</v>
      </c>
      <c r="O104" s="18" t="s">
        <v>29</v>
      </c>
      <c r="P104" s="18" t="s">
        <v>29</v>
      </c>
      <c r="Q104" s="18"/>
      <c r="R104" s="18" t="s">
        <v>29</v>
      </c>
      <c r="S104" s="18" t="s">
        <v>30</v>
      </c>
      <c r="T104" s="19"/>
      <c r="U104" s="19"/>
    </row>
    <row r="105" ht="15.0" customHeight="1">
      <c r="B105" s="29" t="s">
        <v>24</v>
      </c>
      <c r="C105" s="12" t="s">
        <v>267</v>
      </c>
      <c r="D105" s="12" t="s">
        <v>27</v>
      </c>
      <c r="E105" s="12" t="s">
        <v>24</v>
      </c>
      <c r="F105" s="15" t="s">
        <v>268</v>
      </c>
      <c r="G105" s="16">
        <v>2.0</v>
      </c>
      <c r="H105" s="16">
        <v>1.0</v>
      </c>
      <c r="I105" s="16">
        <v>2.0</v>
      </c>
      <c r="J105" s="16">
        <f t="shared" si="4"/>
        <v>2</v>
      </c>
      <c r="K105" s="16">
        <f t="shared" si="5"/>
        <v>2</v>
      </c>
      <c r="L105" s="16">
        <f t="shared" si="6"/>
        <v>2</v>
      </c>
      <c r="M105" s="18" t="s">
        <v>15</v>
      </c>
      <c r="N105" s="18" t="s">
        <v>15</v>
      </c>
      <c r="O105" s="18" t="s">
        <v>29</v>
      </c>
      <c r="P105" s="18" t="s">
        <v>29</v>
      </c>
      <c r="Q105" s="18"/>
      <c r="R105" s="18" t="s">
        <v>29</v>
      </c>
      <c r="S105" s="18" t="s">
        <v>30</v>
      </c>
      <c r="T105" s="19"/>
      <c r="U105" s="19"/>
    </row>
    <row r="106" ht="15.75" customHeight="1">
      <c r="B106" s="29" t="s">
        <v>47</v>
      </c>
      <c r="C106" s="12" t="s">
        <v>269</v>
      </c>
      <c r="D106" s="12" t="s">
        <v>27</v>
      </c>
      <c r="E106" s="12" t="s">
        <v>33</v>
      </c>
      <c r="F106" s="25" t="s">
        <v>270</v>
      </c>
      <c r="G106" s="22">
        <v>1.0</v>
      </c>
      <c r="H106" s="22">
        <v>1.0</v>
      </c>
      <c r="I106" s="22">
        <v>1.0</v>
      </c>
      <c r="J106" s="16">
        <f t="shared" si="4"/>
        <v>1</v>
      </c>
      <c r="K106" s="16">
        <f t="shared" si="5"/>
        <v>1</v>
      </c>
      <c r="L106" s="16">
        <f t="shared" si="6"/>
        <v>1</v>
      </c>
      <c r="M106" s="18" t="s">
        <v>15</v>
      </c>
      <c r="N106" s="18" t="s">
        <v>29</v>
      </c>
      <c r="O106" s="18" t="s">
        <v>29</v>
      </c>
      <c r="P106" s="18" t="s">
        <v>29</v>
      </c>
      <c r="Q106" s="18"/>
      <c r="R106" s="18" t="s">
        <v>29</v>
      </c>
      <c r="S106" s="18" t="s">
        <v>30</v>
      </c>
      <c r="T106" s="19"/>
      <c r="U106" s="19"/>
    </row>
    <row r="107" ht="15.75" customHeight="1">
      <c r="B107" s="29" t="s">
        <v>247</v>
      </c>
      <c r="C107" s="12" t="s">
        <v>271</v>
      </c>
      <c r="D107" s="12" t="s">
        <v>27</v>
      </c>
      <c r="E107" s="12" t="s">
        <v>33</v>
      </c>
      <c r="F107" s="21" t="s">
        <v>272</v>
      </c>
      <c r="G107" s="22">
        <v>2.0</v>
      </c>
      <c r="H107" s="22">
        <v>1.0</v>
      </c>
      <c r="I107" s="22">
        <v>1.0</v>
      </c>
      <c r="J107" s="16">
        <f t="shared" si="4"/>
        <v>1</v>
      </c>
      <c r="K107" s="16">
        <f t="shared" si="5"/>
        <v>1</v>
      </c>
      <c r="L107" s="16">
        <f t="shared" si="6"/>
        <v>1</v>
      </c>
      <c r="M107" s="18" t="s">
        <v>15</v>
      </c>
      <c r="N107" s="18" t="s">
        <v>29</v>
      </c>
      <c r="O107" s="18" t="s">
        <v>29</v>
      </c>
      <c r="P107" s="18" t="s">
        <v>29</v>
      </c>
      <c r="Q107" s="18" t="s">
        <v>35</v>
      </c>
      <c r="R107" s="18" t="s">
        <v>36</v>
      </c>
      <c r="S107" s="18" t="s">
        <v>30</v>
      </c>
      <c r="T107" s="19"/>
      <c r="U107" s="19"/>
    </row>
    <row r="108" ht="12.0" customHeight="1">
      <c r="B108" s="29" t="s">
        <v>24</v>
      </c>
      <c r="C108" s="11" t="s">
        <v>273</v>
      </c>
      <c r="D108" s="11" t="s">
        <v>42</v>
      </c>
      <c r="E108" s="12" t="s">
        <v>24</v>
      </c>
      <c r="F108" s="15" t="s">
        <v>274</v>
      </c>
      <c r="G108" s="16">
        <v>2.0</v>
      </c>
      <c r="H108" s="16">
        <v>2.0</v>
      </c>
      <c r="I108" s="16">
        <v>2.0</v>
      </c>
      <c r="J108" s="16">
        <f t="shared" si="4"/>
        <v>2</v>
      </c>
      <c r="K108" s="16">
        <f t="shared" si="5"/>
        <v>2</v>
      </c>
      <c r="L108" s="16">
        <f t="shared" si="6"/>
        <v>2</v>
      </c>
      <c r="M108" s="18" t="s">
        <v>15</v>
      </c>
      <c r="N108" s="18" t="s">
        <v>15</v>
      </c>
      <c r="O108" s="18" t="s">
        <v>29</v>
      </c>
      <c r="P108" s="18" t="s">
        <v>29</v>
      </c>
      <c r="Q108" s="18"/>
      <c r="R108" s="18" t="s">
        <v>29</v>
      </c>
      <c r="S108" s="18" t="s">
        <v>30</v>
      </c>
      <c r="T108" s="19"/>
      <c r="U108" s="19"/>
    </row>
    <row r="109" ht="12.0" customHeight="1">
      <c r="B109" s="29" t="s">
        <v>24</v>
      </c>
      <c r="C109" s="11" t="s">
        <v>275</v>
      </c>
      <c r="D109" s="12" t="s">
        <v>27</v>
      </c>
      <c r="E109" s="12" t="s">
        <v>24</v>
      </c>
      <c r="F109" s="15" t="s">
        <v>276</v>
      </c>
      <c r="G109" s="16">
        <v>2.0</v>
      </c>
      <c r="H109" s="16">
        <v>1.0</v>
      </c>
      <c r="I109" s="16">
        <v>2.0</v>
      </c>
      <c r="J109" s="16">
        <f t="shared" si="4"/>
        <v>2</v>
      </c>
      <c r="K109" s="16">
        <f t="shared" si="5"/>
        <v>2</v>
      </c>
      <c r="L109" s="16">
        <f t="shared" si="6"/>
        <v>2</v>
      </c>
      <c r="M109" s="18" t="s">
        <v>15</v>
      </c>
      <c r="N109" s="18" t="s">
        <v>15</v>
      </c>
      <c r="O109" s="18" t="s">
        <v>29</v>
      </c>
      <c r="P109" s="18" t="s">
        <v>29</v>
      </c>
      <c r="Q109" s="18"/>
      <c r="R109" s="18" t="s">
        <v>29</v>
      </c>
      <c r="S109" s="18" t="s">
        <v>30</v>
      </c>
      <c r="T109" s="19"/>
      <c r="U109" s="19"/>
    </row>
    <row r="110" ht="12.0" customHeight="1">
      <c r="B110" s="29" t="s">
        <v>24</v>
      </c>
      <c r="C110" s="12" t="s">
        <v>277</v>
      </c>
      <c r="D110" s="12" t="s">
        <v>27</v>
      </c>
      <c r="E110" s="12" t="s">
        <v>24</v>
      </c>
      <c r="F110" s="21" t="s">
        <v>278</v>
      </c>
      <c r="G110" s="16">
        <v>3.0</v>
      </c>
      <c r="H110" s="16">
        <v>3.0</v>
      </c>
      <c r="I110" s="16">
        <v>3.0</v>
      </c>
      <c r="J110" s="16">
        <f t="shared" si="4"/>
        <v>3</v>
      </c>
      <c r="K110" s="16">
        <f t="shared" si="5"/>
        <v>3</v>
      </c>
      <c r="L110" s="16">
        <f t="shared" si="6"/>
        <v>3</v>
      </c>
      <c r="M110" s="18" t="s">
        <v>15</v>
      </c>
      <c r="N110" s="18" t="s">
        <v>15</v>
      </c>
      <c r="O110" s="18" t="s">
        <v>15</v>
      </c>
      <c r="P110" s="18" t="s">
        <v>29</v>
      </c>
      <c r="Q110" s="18"/>
      <c r="R110" s="18" t="s">
        <v>29</v>
      </c>
      <c r="S110" s="18" t="s">
        <v>30</v>
      </c>
      <c r="T110" s="19"/>
      <c r="U110" s="19"/>
    </row>
    <row r="111" ht="12.0" customHeight="1">
      <c r="B111" s="29" t="s">
        <v>24</v>
      </c>
      <c r="C111" s="12" t="s">
        <v>279</v>
      </c>
      <c r="D111" s="12" t="s">
        <v>27</v>
      </c>
      <c r="E111" s="12" t="s">
        <v>24</v>
      </c>
      <c r="F111" s="21" t="s">
        <v>280</v>
      </c>
      <c r="G111" s="16">
        <v>2.0</v>
      </c>
      <c r="H111" s="16">
        <v>1.0</v>
      </c>
      <c r="I111" s="16">
        <v>2.0</v>
      </c>
      <c r="J111" s="16">
        <f t="shared" si="4"/>
        <v>2</v>
      </c>
      <c r="K111" s="16">
        <f t="shared" si="5"/>
        <v>2</v>
      </c>
      <c r="L111" s="16">
        <f t="shared" si="6"/>
        <v>2</v>
      </c>
      <c r="M111" s="18" t="s">
        <v>15</v>
      </c>
      <c r="N111" s="18" t="s">
        <v>15</v>
      </c>
      <c r="O111" s="18" t="s">
        <v>29</v>
      </c>
      <c r="P111" s="18" t="s">
        <v>29</v>
      </c>
      <c r="Q111" s="18"/>
      <c r="R111" s="18" t="s">
        <v>29</v>
      </c>
      <c r="S111" s="18" t="s">
        <v>30</v>
      </c>
      <c r="T111" s="19"/>
      <c r="U111" s="19"/>
    </row>
    <row r="112" ht="12.0" customHeight="1">
      <c r="B112" s="28" t="s">
        <v>24</v>
      </c>
      <c r="C112" s="12" t="s">
        <v>281</v>
      </c>
      <c r="D112" s="12" t="s">
        <v>27</v>
      </c>
      <c r="E112" s="12" t="s">
        <v>24</v>
      </c>
      <c r="F112" s="21" t="s">
        <v>282</v>
      </c>
      <c r="G112" s="16">
        <v>3.0</v>
      </c>
      <c r="H112" s="16">
        <v>4.0</v>
      </c>
      <c r="I112" s="16">
        <v>3.0</v>
      </c>
      <c r="J112" s="16">
        <f t="shared" si="4"/>
        <v>3</v>
      </c>
      <c r="K112" s="16">
        <f t="shared" si="5"/>
        <v>3</v>
      </c>
      <c r="L112" s="16">
        <f t="shared" si="6"/>
        <v>3</v>
      </c>
      <c r="M112" s="18" t="s">
        <v>15</v>
      </c>
      <c r="N112" s="18" t="s">
        <v>15</v>
      </c>
      <c r="O112" s="18" t="s">
        <v>15</v>
      </c>
      <c r="P112" s="18" t="s">
        <v>29</v>
      </c>
      <c r="Q112" s="18"/>
      <c r="R112" s="18" t="s">
        <v>29</v>
      </c>
      <c r="S112" s="18" t="s">
        <v>30</v>
      </c>
      <c r="T112" s="19"/>
      <c r="U112" s="19"/>
    </row>
    <row r="113" ht="12.0" customHeight="1">
      <c r="B113" s="29" t="s">
        <v>24</v>
      </c>
      <c r="C113" s="12" t="s">
        <v>283</v>
      </c>
      <c r="D113" s="12" t="s">
        <v>27</v>
      </c>
      <c r="E113" s="12" t="s">
        <v>24</v>
      </c>
      <c r="F113" s="21" t="s">
        <v>284</v>
      </c>
      <c r="G113" s="16">
        <v>2.0</v>
      </c>
      <c r="H113" s="16">
        <v>2.0</v>
      </c>
      <c r="I113" s="16">
        <v>2.0</v>
      </c>
      <c r="J113" s="16">
        <f t="shared" si="4"/>
        <v>2</v>
      </c>
      <c r="K113" s="16">
        <f t="shared" si="5"/>
        <v>2</v>
      </c>
      <c r="L113" s="16">
        <f t="shared" si="6"/>
        <v>2</v>
      </c>
      <c r="M113" s="18" t="s">
        <v>15</v>
      </c>
      <c r="N113" s="18" t="s">
        <v>15</v>
      </c>
      <c r="O113" s="18" t="s">
        <v>29</v>
      </c>
      <c r="P113" s="18" t="s">
        <v>29</v>
      </c>
      <c r="Q113" s="18"/>
      <c r="R113" s="18" t="s">
        <v>29</v>
      </c>
      <c r="S113" s="18" t="s">
        <v>30</v>
      </c>
      <c r="T113" s="19"/>
      <c r="U113" s="19"/>
    </row>
    <row r="114" ht="15.75" customHeight="1">
      <c r="B114" s="29" t="s">
        <v>98</v>
      </c>
      <c r="C114" s="12" t="s">
        <v>285</v>
      </c>
      <c r="D114" s="12" t="s">
        <v>27</v>
      </c>
      <c r="E114" s="12" t="s">
        <v>33</v>
      </c>
      <c r="F114" s="21" t="s">
        <v>286</v>
      </c>
      <c r="G114" s="22">
        <v>3.0</v>
      </c>
      <c r="H114" s="22">
        <v>1.0</v>
      </c>
      <c r="I114" s="22">
        <v>3.0</v>
      </c>
      <c r="J114" s="16">
        <f t="shared" si="4"/>
        <v>3</v>
      </c>
      <c r="K114" s="16">
        <f t="shared" si="5"/>
        <v>3</v>
      </c>
      <c r="L114" s="16">
        <f t="shared" si="6"/>
        <v>3</v>
      </c>
      <c r="M114" s="18" t="s">
        <v>15</v>
      </c>
      <c r="N114" s="18" t="s">
        <v>15</v>
      </c>
      <c r="O114" s="18" t="s">
        <v>15</v>
      </c>
      <c r="P114" s="18" t="s">
        <v>29</v>
      </c>
      <c r="Q114" s="18"/>
      <c r="R114" s="18" t="s">
        <v>29</v>
      </c>
      <c r="S114" s="18" t="s">
        <v>30</v>
      </c>
      <c r="T114" s="19"/>
      <c r="U114" s="19"/>
    </row>
    <row r="115" ht="12.75" customHeight="1">
      <c r="B115" s="29" t="s">
        <v>24</v>
      </c>
      <c r="C115" s="12" t="s">
        <v>287</v>
      </c>
      <c r="D115" s="12" t="s">
        <v>27</v>
      </c>
      <c r="E115" s="12" t="s">
        <v>24</v>
      </c>
      <c r="F115" s="21" t="s">
        <v>288</v>
      </c>
      <c r="G115" s="22">
        <v>2.0</v>
      </c>
      <c r="H115" s="22">
        <v>1.0</v>
      </c>
      <c r="I115" s="22">
        <v>2.0</v>
      </c>
      <c r="J115" s="16">
        <f t="shared" si="4"/>
        <v>2</v>
      </c>
      <c r="K115" s="16">
        <f t="shared" si="5"/>
        <v>2</v>
      </c>
      <c r="L115" s="16">
        <f t="shared" si="6"/>
        <v>2</v>
      </c>
      <c r="M115" s="18" t="s">
        <v>15</v>
      </c>
      <c r="N115" s="18" t="s">
        <v>15</v>
      </c>
      <c r="O115" s="18" t="s">
        <v>29</v>
      </c>
      <c r="P115" s="18" t="s">
        <v>29</v>
      </c>
      <c r="Q115" s="18"/>
      <c r="R115" s="18" t="s">
        <v>29</v>
      </c>
      <c r="S115" s="18" t="s">
        <v>30</v>
      </c>
      <c r="T115" s="19"/>
      <c r="U115" s="19"/>
    </row>
    <row r="116" ht="15.75" customHeight="1">
      <c r="B116" s="29" t="s">
        <v>176</v>
      </c>
      <c r="C116" s="12" t="s">
        <v>289</v>
      </c>
      <c r="D116" s="12" t="s">
        <v>27</v>
      </c>
      <c r="E116" s="12" t="s">
        <v>33</v>
      </c>
      <c r="F116" s="21" t="s">
        <v>290</v>
      </c>
      <c r="G116" s="22">
        <v>2.0</v>
      </c>
      <c r="H116" s="22">
        <v>1.0</v>
      </c>
      <c r="I116" s="22">
        <v>2.0</v>
      </c>
      <c r="J116" s="16">
        <f t="shared" si="4"/>
        <v>2</v>
      </c>
      <c r="K116" s="16">
        <f t="shared" si="5"/>
        <v>2</v>
      </c>
      <c r="L116" s="16">
        <f t="shared" si="6"/>
        <v>2</v>
      </c>
      <c r="M116" s="18" t="s">
        <v>15</v>
      </c>
      <c r="N116" s="18" t="s">
        <v>15</v>
      </c>
      <c r="O116" s="18" t="s">
        <v>29</v>
      </c>
      <c r="P116" s="18" t="s">
        <v>29</v>
      </c>
      <c r="Q116" s="18"/>
      <c r="R116" s="18" t="s">
        <v>29</v>
      </c>
      <c r="S116" s="18" t="s">
        <v>30</v>
      </c>
      <c r="T116" s="19"/>
      <c r="U116" s="19"/>
    </row>
    <row r="117" ht="15.75" customHeight="1">
      <c r="B117" s="29" t="s">
        <v>201</v>
      </c>
      <c r="C117" s="12" t="s">
        <v>291</v>
      </c>
      <c r="D117" s="12" t="s">
        <v>27</v>
      </c>
      <c r="E117" s="12" t="s">
        <v>33</v>
      </c>
      <c r="F117" s="21" t="s">
        <v>292</v>
      </c>
      <c r="G117" s="22">
        <v>2.0</v>
      </c>
      <c r="H117" s="22">
        <v>1.0</v>
      </c>
      <c r="I117" s="22">
        <v>2.0</v>
      </c>
      <c r="J117" s="16">
        <f t="shared" si="4"/>
        <v>2</v>
      </c>
      <c r="K117" s="16">
        <f t="shared" si="5"/>
        <v>2</v>
      </c>
      <c r="L117" s="16">
        <f t="shared" si="6"/>
        <v>2</v>
      </c>
      <c r="M117" s="18" t="s">
        <v>15</v>
      </c>
      <c r="N117" s="18" t="s">
        <v>15</v>
      </c>
      <c r="O117" s="18" t="s">
        <v>29</v>
      </c>
      <c r="P117" s="18" t="s">
        <v>29</v>
      </c>
      <c r="Q117" s="18"/>
      <c r="R117" s="18" t="s">
        <v>29</v>
      </c>
      <c r="S117" s="18" t="s">
        <v>30</v>
      </c>
      <c r="T117" s="19"/>
      <c r="U117" s="19"/>
    </row>
    <row r="118" ht="12.0" customHeight="1">
      <c r="B118" s="29" t="s">
        <v>24</v>
      </c>
      <c r="C118" s="12" t="s">
        <v>293</v>
      </c>
      <c r="D118" s="12" t="s">
        <v>27</v>
      </c>
      <c r="E118" s="12" t="s">
        <v>24</v>
      </c>
      <c r="F118" s="14" t="s">
        <v>294</v>
      </c>
      <c r="G118" s="16">
        <v>2.0</v>
      </c>
      <c r="H118" s="22">
        <v>1.0</v>
      </c>
      <c r="I118" s="16">
        <v>2.0</v>
      </c>
      <c r="J118" s="16">
        <f t="shared" si="4"/>
        <v>2</v>
      </c>
      <c r="K118" s="16">
        <f t="shared" si="5"/>
        <v>2</v>
      </c>
      <c r="L118" s="16">
        <f t="shared" si="6"/>
        <v>2</v>
      </c>
      <c r="M118" s="18" t="s">
        <v>15</v>
      </c>
      <c r="N118" s="18" t="s">
        <v>15</v>
      </c>
      <c r="O118" s="18" t="s">
        <v>29</v>
      </c>
      <c r="P118" s="18" t="s">
        <v>29</v>
      </c>
      <c r="Q118" s="18"/>
      <c r="R118" s="18" t="s">
        <v>29</v>
      </c>
      <c r="S118" s="18" t="s">
        <v>30</v>
      </c>
      <c r="T118" s="19"/>
      <c r="U118" s="19"/>
    </row>
    <row r="119" ht="12.0" customHeight="1">
      <c r="B119" s="29" t="s">
        <v>24</v>
      </c>
      <c r="C119" s="12" t="s">
        <v>295</v>
      </c>
      <c r="D119" s="12" t="s">
        <v>27</v>
      </c>
      <c r="E119" s="12" t="s">
        <v>24</v>
      </c>
      <c r="F119" s="14" t="s">
        <v>296</v>
      </c>
      <c r="G119" s="16">
        <v>2.0</v>
      </c>
      <c r="H119" s="22">
        <v>1.0</v>
      </c>
      <c r="I119" s="16">
        <v>2.0</v>
      </c>
      <c r="J119" s="16">
        <f t="shared" si="4"/>
        <v>2</v>
      </c>
      <c r="K119" s="16">
        <f t="shared" si="5"/>
        <v>2</v>
      </c>
      <c r="L119" s="16">
        <f t="shared" si="6"/>
        <v>2</v>
      </c>
      <c r="M119" s="18" t="s">
        <v>15</v>
      </c>
      <c r="N119" s="18" t="s">
        <v>15</v>
      </c>
      <c r="O119" s="18" t="s">
        <v>29</v>
      </c>
      <c r="P119" s="18" t="s">
        <v>29</v>
      </c>
      <c r="Q119" s="18"/>
      <c r="R119" s="18" t="s">
        <v>29</v>
      </c>
      <c r="S119" s="18" t="s">
        <v>30</v>
      </c>
      <c r="T119" s="19"/>
      <c r="U119" s="19"/>
    </row>
    <row r="120" ht="12.0" customHeight="1">
      <c r="B120" s="29" t="s">
        <v>24</v>
      </c>
      <c r="C120" s="12" t="s">
        <v>297</v>
      </c>
      <c r="D120" s="12" t="s">
        <v>27</v>
      </c>
      <c r="E120" s="12" t="s">
        <v>24</v>
      </c>
      <c r="F120" s="14" t="s">
        <v>298</v>
      </c>
      <c r="G120" s="16">
        <v>2.0</v>
      </c>
      <c r="H120" s="22">
        <v>1.0</v>
      </c>
      <c r="I120" s="16">
        <v>2.0</v>
      </c>
      <c r="J120" s="16">
        <f t="shared" si="4"/>
        <v>2</v>
      </c>
      <c r="K120" s="16">
        <f t="shared" si="5"/>
        <v>2</v>
      </c>
      <c r="L120" s="16">
        <f t="shared" si="6"/>
        <v>2</v>
      </c>
      <c r="M120" s="18" t="s">
        <v>15</v>
      </c>
      <c r="N120" s="18" t="s">
        <v>15</v>
      </c>
      <c r="O120" s="18" t="s">
        <v>29</v>
      </c>
      <c r="P120" s="18" t="s">
        <v>29</v>
      </c>
      <c r="Q120" s="18"/>
      <c r="R120" s="18" t="s">
        <v>29</v>
      </c>
      <c r="S120" s="18" t="s">
        <v>30</v>
      </c>
      <c r="T120" s="19"/>
      <c r="U120" s="19"/>
    </row>
    <row r="121" ht="12.0" customHeight="1">
      <c r="B121" s="29" t="s">
        <v>24</v>
      </c>
      <c r="C121" s="12" t="s">
        <v>299</v>
      </c>
      <c r="D121" s="12" t="s">
        <v>27</v>
      </c>
      <c r="E121" s="12" t="s">
        <v>24</v>
      </c>
      <c r="F121" s="14" t="s">
        <v>300</v>
      </c>
      <c r="G121" s="16">
        <v>1.0</v>
      </c>
      <c r="H121" s="22">
        <v>1.0</v>
      </c>
      <c r="I121" s="16">
        <v>1.0</v>
      </c>
      <c r="J121" s="16">
        <f t="shared" si="4"/>
        <v>1</v>
      </c>
      <c r="K121" s="16">
        <f t="shared" si="5"/>
        <v>1</v>
      </c>
      <c r="L121" s="16">
        <f t="shared" si="6"/>
        <v>1</v>
      </c>
      <c r="M121" s="18" t="s">
        <v>15</v>
      </c>
      <c r="N121" s="18" t="s">
        <v>29</v>
      </c>
      <c r="O121" s="18" t="s">
        <v>29</v>
      </c>
      <c r="P121" s="18" t="s">
        <v>29</v>
      </c>
      <c r="Q121" s="18"/>
      <c r="R121" s="18" t="s">
        <v>29</v>
      </c>
      <c r="S121" s="18" t="s">
        <v>30</v>
      </c>
      <c r="T121" s="19"/>
      <c r="U121" s="19"/>
    </row>
    <row r="122" ht="12.0" customHeight="1">
      <c r="B122" s="29" t="s">
        <v>24</v>
      </c>
      <c r="C122" s="12" t="s">
        <v>301</v>
      </c>
      <c r="D122" s="12" t="s">
        <v>27</v>
      </c>
      <c r="E122" s="12" t="s">
        <v>24</v>
      </c>
      <c r="F122" s="14" t="s">
        <v>302</v>
      </c>
      <c r="G122" s="16">
        <v>2.0</v>
      </c>
      <c r="H122" s="22">
        <v>1.0</v>
      </c>
      <c r="I122" s="16">
        <v>2.0</v>
      </c>
      <c r="J122" s="16">
        <f t="shared" si="4"/>
        <v>2</v>
      </c>
      <c r="K122" s="16">
        <f t="shared" si="5"/>
        <v>2</v>
      </c>
      <c r="L122" s="16">
        <f t="shared" si="6"/>
        <v>2</v>
      </c>
      <c r="M122" s="18" t="s">
        <v>15</v>
      </c>
      <c r="N122" s="18" t="s">
        <v>15</v>
      </c>
      <c r="O122" s="18" t="s">
        <v>29</v>
      </c>
      <c r="P122" s="18" t="s">
        <v>29</v>
      </c>
      <c r="Q122" s="18"/>
      <c r="R122" s="18" t="s">
        <v>29</v>
      </c>
      <c r="S122" s="18" t="s">
        <v>30</v>
      </c>
      <c r="T122" s="19"/>
      <c r="U122" s="19"/>
    </row>
    <row r="123" ht="12.0" customHeight="1">
      <c r="B123" s="29" t="s">
        <v>24</v>
      </c>
      <c r="C123" s="12" t="s">
        <v>303</v>
      </c>
      <c r="D123" s="12" t="s">
        <v>27</v>
      </c>
      <c r="E123" s="12" t="s">
        <v>24</v>
      </c>
      <c r="F123" s="14" t="s">
        <v>304</v>
      </c>
      <c r="G123" s="16">
        <v>2.0</v>
      </c>
      <c r="H123" s="22">
        <v>1.0</v>
      </c>
      <c r="I123" s="16">
        <v>2.0</v>
      </c>
      <c r="J123" s="16">
        <f t="shared" si="4"/>
        <v>2</v>
      </c>
      <c r="K123" s="16">
        <f t="shared" si="5"/>
        <v>2</v>
      </c>
      <c r="L123" s="16">
        <f t="shared" si="6"/>
        <v>2</v>
      </c>
      <c r="M123" s="18" t="s">
        <v>15</v>
      </c>
      <c r="N123" s="18" t="s">
        <v>15</v>
      </c>
      <c r="O123" s="18" t="s">
        <v>29</v>
      </c>
      <c r="P123" s="18" t="s">
        <v>29</v>
      </c>
      <c r="Q123" s="18"/>
      <c r="R123" s="18" t="s">
        <v>29</v>
      </c>
      <c r="S123" s="18" t="s">
        <v>30</v>
      </c>
      <c r="T123" s="19"/>
      <c r="U123" s="19"/>
    </row>
    <row r="124" ht="12.0" customHeight="1">
      <c r="B124" s="29" t="s">
        <v>24</v>
      </c>
      <c r="C124" s="12" t="s">
        <v>305</v>
      </c>
      <c r="D124" s="12" t="s">
        <v>27</v>
      </c>
      <c r="E124" s="12" t="s">
        <v>24</v>
      </c>
      <c r="F124" s="14" t="s">
        <v>306</v>
      </c>
      <c r="G124" s="16">
        <v>2.0</v>
      </c>
      <c r="H124" s="22">
        <v>1.0</v>
      </c>
      <c r="I124" s="16">
        <v>2.0</v>
      </c>
      <c r="J124" s="16">
        <f t="shared" si="4"/>
        <v>2</v>
      </c>
      <c r="K124" s="16">
        <f t="shared" si="5"/>
        <v>2</v>
      </c>
      <c r="L124" s="16">
        <f t="shared" si="6"/>
        <v>2</v>
      </c>
      <c r="M124" s="18" t="s">
        <v>15</v>
      </c>
      <c r="N124" s="18" t="s">
        <v>15</v>
      </c>
      <c r="O124" s="18" t="s">
        <v>29</v>
      </c>
      <c r="P124" s="18" t="s">
        <v>29</v>
      </c>
      <c r="Q124" s="18"/>
      <c r="R124" s="18" t="s">
        <v>29</v>
      </c>
      <c r="S124" s="18" t="s">
        <v>30</v>
      </c>
      <c r="T124" s="19"/>
      <c r="U124" s="19"/>
    </row>
    <row r="125" ht="12.0" customHeight="1">
      <c r="B125" s="29" t="s">
        <v>24</v>
      </c>
      <c r="C125" s="12" t="s">
        <v>307</v>
      </c>
      <c r="D125" s="12" t="s">
        <v>27</v>
      </c>
      <c r="E125" s="12" t="s">
        <v>24</v>
      </c>
      <c r="F125" s="14" t="s">
        <v>308</v>
      </c>
      <c r="G125" s="16">
        <v>1.0</v>
      </c>
      <c r="H125" s="22">
        <v>1.0</v>
      </c>
      <c r="I125" s="16">
        <v>1.0</v>
      </c>
      <c r="J125" s="16">
        <f t="shared" si="4"/>
        <v>1</v>
      </c>
      <c r="K125" s="16">
        <f t="shared" si="5"/>
        <v>1</v>
      </c>
      <c r="L125" s="16">
        <f t="shared" si="6"/>
        <v>1</v>
      </c>
      <c r="M125" s="18" t="s">
        <v>15</v>
      </c>
      <c r="N125" s="18" t="s">
        <v>29</v>
      </c>
      <c r="O125" s="18" t="s">
        <v>29</v>
      </c>
      <c r="P125" s="18" t="s">
        <v>29</v>
      </c>
      <c r="Q125" s="18"/>
      <c r="R125" s="18" t="s">
        <v>29</v>
      </c>
      <c r="S125" s="18" t="s">
        <v>30</v>
      </c>
      <c r="T125" s="19"/>
      <c r="U125" s="19"/>
    </row>
    <row r="126" ht="12.0" customHeight="1">
      <c r="B126" s="29" t="s">
        <v>24</v>
      </c>
      <c r="C126" s="12" t="s">
        <v>309</v>
      </c>
      <c r="D126" s="12" t="s">
        <v>27</v>
      </c>
      <c r="E126" s="12" t="s">
        <v>24</v>
      </c>
      <c r="F126" s="14" t="s">
        <v>310</v>
      </c>
      <c r="G126" s="16">
        <v>2.0</v>
      </c>
      <c r="H126" s="22">
        <v>1.0</v>
      </c>
      <c r="I126" s="16">
        <v>2.0</v>
      </c>
      <c r="J126" s="16">
        <f t="shared" si="4"/>
        <v>2</v>
      </c>
      <c r="K126" s="16">
        <f t="shared" si="5"/>
        <v>2</v>
      </c>
      <c r="L126" s="16">
        <f t="shared" si="6"/>
        <v>2</v>
      </c>
      <c r="M126" s="18" t="s">
        <v>15</v>
      </c>
      <c r="N126" s="18" t="s">
        <v>15</v>
      </c>
      <c r="O126" s="18" t="s">
        <v>29</v>
      </c>
      <c r="P126" s="18" t="s">
        <v>29</v>
      </c>
      <c r="Q126" s="18"/>
      <c r="R126" s="18" t="s">
        <v>29</v>
      </c>
      <c r="S126" s="18" t="s">
        <v>30</v>
      </c>
      <c r="T126" s="19"/>
      <c r="U126" s="19"/>
    </row>
    <row r="127" ht="12.0" customHeight="1">
      <c r="B127" s="29" t="s">
        <v>24</v>
      </c>
      <c r="C127" s="12" t="s">
        <v>311</v>
      </c>
      <c r="D127" s="12" t="s">
        <v>27</v>
      </c>
      <c r="E127" s="12" t="s">
        <v>24</v>
      </c>
      <c r="F127" s="14" t="s">
        <v>312</v>
      </c>
      <c r="G127" s="16">
        <v>1.0</v>
      </c>
      <c r="H127" s="22">
        <v>1.0</v>
      </c>
      <c r="I127" s="16">
        <v>1.0</v>
      </c>
      <c r="J127" s="16">
        <f t="shared" si="4"/>
        <v>1</v>
      </c>
      <c r="K127" s="16">
        <f t="shared" si="5"/>
        <v>1</v>
      </c>
      <c r="L127" s="16">
        <f t="shared" si="6"/>
        <v>1</v>
      </c>
      <c r="M127" s="18" t="s">
        <v>15</v>
      </c>
      <c r="N127" s="18" t="s">
        <v>29</v>
      </c>
      <c r="O127" s="18" t="s">
        <v>29</v>
      </c>
      <c r="P127" s="18" t="s">
        <v>29</v>
      </c>
      <c r="Q127" s="18"/>
      <c r="R127" s="18" t="s">
        <v>29</v>
      </c>
      <c r="S127" s="18" t="s">
        <v>30</v>
      </c>
      <c r="T127" s="19"/>
      <c r="U127" s="19"/>
    </row>
    <row r="128" ht="12.0" customHeight="1">
      <c r="B128" s="29" t="s">
        <v>24</v>
      </c>
      <c r="C128" s="12" t="s">
        <v>313</v>
      </c>
      <c r="D128" s="12" t="s">
        <v>27</v>
      </c>
      <c r="E128" s="12" t="s">
        <v>24</v>
      </c>
      <c r="F128" s="14" t="s">
        <v>314</v>
      </c>
      <c r="G128" s="16">
        <v>1.0</v>
      </c>
      <c r="H128" s="22">
        <v>1.0</v>
      </c>
      <c r="I128" s="16">
        <v>1.0</v>
      </c>
      <c r="J128" s="16">
        <f t="shared" si="4"/>
        <v>1</v>
      </c>
      <c r="K128" s="16">
        <f t="shared" si="5"/>
        <v>1</v>
      </c>
      <c r="L128" s="16">
        <f t="shared" si="6"/>
        <v>1</v>
      </c>
      <c r="M128" s="18" t="s">
        <v>15</v>
      </c>
      <c r="N128" s="18" t="s">
        <v>29</v>
      </c>
      <c r="O128" s="18" t="s">
        <v>29</v>
      </c>
      <c r="P128" s="18" t="s">
        <v>29</v>
      </c>
      <c r="Q128" s="18"/>
      <c r="R128" s="18" t="s">
        <v>29</v>
      </c>
      <c r="S128" s="18" t="s">
        <v>30</v>
      </c>
      <c r="T128" s="19"/>
      <c r="U128" s="19"/>
    </row>
    <row r="129" ht="12.0" customHeight="1">
      <c r="B129" s="29" t="s">
        <v>24</v>
      </c>
      <c r="C129" s="12" t="s">
        <v>315</v>
      </c>
      <c r="D129" s="12" t="s">
        <v>27</v>
      </c>
      <c r="E129" s="12" t="s">
        <v>24</v>
      </c>
      <c r="F129" s="14" t="s">
        <v>316</v>
      </c>
      <c r="G129" s="16">
        <v>1.0</v>
      </c>
      <c r="H129" s="22">
        <v>1.0</v>
      </c>
      <c r="I129" s="16">
        <v>1.0</v>
      </c>
      <c r="J129" s="16">
        <f t="shared" si="4"/>
        <v>1</v>
      </c>
      <c r="K129" s="16">
        <f t="shared" si="5"/>
        <v>1</v>
      </c>
      <c r="L129" s="16">
        <f t="shared" si="6"/>
        <v>1</v>
      </c>
      <c r="M129" s="18" t="s">
        <v>15</v>
      </c>
      <c r="N129" s="18" t="s">
        <v>29</v>
      </c>
      <c r="O129" s="18" t="s">
        <v>29</v>
      </c>
      <c r="P129" s="18" t="s">
        <v>29</v>
      </c>
      <c r="Q129" s="18"/>
      <c r="R129" s="18" t="s">
        <v>29</v>
      </c>
      <c r="S129" s="18" t="s">
        <v>30</v>
      </c>
      <c r="T129" s="19"/>
      <c r="U129" s="19"/>
    </row>
    <row r="130" ht="15.75" customHeight="1">
      <c r="B130" s="29" t="s">
        <v>317</v>
      </c>
      <c r="C130" s="12" t="s">
        <v>318</v>
      </c>
      <c r="D130" s="12" t="s">
        <v>27</v>
      </c>
      <c r="E130" s="12" t="s">
        <v>33</v>
      </c>
      <c r="F130" s="14" t="s">
        <v>319</v>
      </c>
      <c r="G130" s="16">
        <v>2.0</v>
      </c>
      <c r="H130" s="22">
        <v>1.0</v>
      </c>
      <c r="I130" s="16">
        <v>1.0</v>
      </c>
      <c r="J130" s="16">
        <f t="shared" si="4"/>
        <v>1</v>
      </c>
      <c r="K130" s="16">
        <f t="shared" si="5"/>
        <v>1</v>
      </c>
      <c r="L130" s="16">
        <f t="shared" si="6"/>
        <v>1</v>
      </c>
      <c r="M130" s="18" t="s">
        <v>15</v>
      </c>
      <c r="N130" s="18" t="s">
        <v>15</v>
      </c>
      <c r="O130" s="18" t="s">
        <v>29</v>
      </c>
      <c r="P130" s="18" t="s">
        <v>29</v>
      </c>
      <c r="Q130" s="18" t="s">
        <v>35</v>
      </c>
      <c r="R130" s="18" t="s">
        <v>36</v>
      </c>
      <c r="S130" s="18" t="s">
        <v>30</v>
      </c>
      <c r="T130" s="19"/>
      <c r="U130" s="19"/>
    </row>
    <row r="131" ht="12.0" customHeight="1">
      <c r="B131" s="29" t="s">
        <v>24</v>
      </c>
      <c r="C131" s="12" t="s">
        <v>320</v>
      </c>
      <c r="D131" s="12" t="s">
        <v>27</v>
      </c>
      <c r="E131" s="12" t="s">
        <v>24</v>
      </c>
      <c r="F131" s="14" t="s">
        <v>321</v>
      </c>
      <c r="G131" s="16">
        <v>2.0</v>
      </c>
      <c r="H131" s="22">
        <v>1.0</v>
      </c>
      <c r="I131" s="16">
        <v>2.0</v>
      </c>
      <c r="J131" s="16">
        <f t="shared" si="4"/>
        <v>2</v>
      </c>
      <c r="K131" s="16">
        <f t="shared" si="5"/>
        <v>2</v>
      </c>
      <c r="L131" s="16">
        <f t="shared" si="6"/>
        <v>2</v>
      </c>
      <c r="M131" s="18" t="s">
        <v>15</v>
      </c>
      <c r="N131" s="18" t="s">
        <v>15</v>
      </c>
      <c r="O131" s="18" t="s">
        <v>29</v>
      </c>
      <c r="P131" s="18" t="s">
        <v>29</v>
      </c>
      <c r="Q131" s="18"/>
      <c r="R131" s="18" t="s">
        <v>29</v>
      </c>
      <c r="S131" s="18" t="s">
        <v>30</v>
      </c>
      <c r="T131" s="19"/>
      <c r="U131" s="19"/>
    </row>
    <row r="132" ht="12.0" customHeight="1">
      <c r="B132" s="29" t="s">
        <v>24</v>
      </c>
      <c r="C132" s="12" t="s">
        <v>322</v>
      </c>
      <c r="D132" s="12" t="s">
        <v>27</v>
      </c>
      <c r="E132" s="12" t="s">
        <v>24</v>
      </c>
      <c r="F132" s="14" t="s">
        <v>323</v>
      </c>
      <c r="G132" s="16">
        <v>2.0</v>
      </c>
      <c r="H132" s="22">
        <v>1.0</v>
      </c>
      <c r="I132" s="16">
        <v>2.0</v>
      </c>
      <c r="J132" s="16">
        <f t="shared" si="4"/>
        <v>2</v>
      </c>
      <c r="K132" s="16">
        <f t="shared" si="5"/>
        <v>2</v>
      </c>
      <c r="L132" s="16">
        <f t="shared" si="6"/>
        <v>2</v>
      </c>
      <c r="M132" s="18" t="s">
        <v>15</v>
      </c>
      <c r="N132" s="18" t="s">
        <v>15</v>
      </c>
      <c r="O132" s="18" t="s">
        <v>29</v>
      </c>
      <c r="P132" s="18" t="s">
        <v>29</v>
      </c>
      <c r="Q132" s="18"/>
      <c r="R132" s="18" t="s">
        <v>29</v>
      </c>
      <c r="S132" s="18" t="s">
        <v>30</v>
      </c>
      <c r="T132" s="19"/>
      <c r="U132" s="19"/>
    </row>
    <row r="133" ht="12.0" customHeight="1">
      <c r="B133" s="29" t="s">
        <v>24</v>
      </c>
      <c r="C133" s="12" t="s">
        <v>324</v>
      </c>
      <c r="D133" s="12" t="s">
        <v>27</v>
      </c>
      <c r="E133" s="12" t="s">
        <v>24</v>
      </c>
      <c r="F133" s="14" t="s">
        <v>325</v>
      </c>
      <c r="G133" s="16">
        <v>1.0</v>
      </c>
      <c r="H133" s="22">
        <v>1.0</v>
      </c>
      <c r="I133" s="16">
        <v>1.0</v>
      </c>
      <c r="J133" s="16">
        <f t="shared" si="4"/>
        <v>1</v>
      </c>
      <c r="K133" s="16">
        <f t="shared" si="5"/>
        <v>1</v>
      </c>
      <c r="L133" s="16">
        <f t="shared" si="6"/>
        <v>1</v>
      </c>
      <c r="M133" s="18" t="s">
        <v>15</v>
      </c>
      <c r="N133" s="18" t="s">
        <v>29</v>
      </c>
      <c r="O133" s="18" t="s">
        <v>29</v>
      </c>
      <c r="P133" s="18" t="s">
        <v>29</v>
      </c>
      <c r="Q133" s="18"/>
      <c r="R133" s="18" t="s">
        <v>29</v>
      </c>
      <c r="S133" s="18" t="s">
        <v>30</v>
      </c>
      <c r="T133" s="19"/>
      <c r="U133" s="19"/>
    </row>
    <row r="134" ht="12.0" customHeight="1">
      <c r="B134" s="29" t="s">
        <v>24</v>
      </c>
      <c r="C134" s="12" t="s">
        <v>326</v>
      </c>
      <c r="D134" s="12" t="s">
        <v>27</v>
      </c>
      <c r="E134" s="12" t="s">
        <v>24</v>
      </c>
      <c r="F134" s="14" t="s">
        <v>327</v>
      </c>
      <c r="G134" s="16">
        <v>2.0</v>
      </c>
      <c r="H134" s="22">
        <v>1.0</v>
      </c>
      <c r="I134" s="16">
        <v>2.0</v>
      </c>
      <c r="J134" s="16">
        <f t="shared" si="4"/>
        <v>2</v>
      </c>
      <c r="K134" s="16">
        <f t="shared" si="5"/>
        <v>2</v>
      </c>
      <c r="L134" s="16">
        <f t="shared" si="6"/>
        <v>2</v>
      </c>
      <c r="M134" s="18" t="s">
        <v>15</v>
      </c>
      <c r="N134" s="18" t="s">
        <v>15</v>
      </c>
      <c r="O134" s="18" t="s">
        <v>29</v>
      </c>
      <c r="P134" s="18" t="s">
        <v>29</v>
      </c>
      <c r="Q134" s="18"/>
      <c r="R134" s="18" t="s">
        <v>29</v>
      </c>
      <c r="S134" s="18" t="s">
        <v>30</v>
      </c>
      <c r="T134" s="19"/>
      <c r="U134" s="19"/>
    </row>
    <row r="135" ht="12.0" customHeight="1">
      <c r="B135" s="29" t="s">
        <v>44</v>
      </c>
      <c r="C135" s="12" t="s">
        <v>328</v>
      </c>
      <c r="D135" s="12" t="s">
        <v>27</v>
      </c>
      <c r="E135" s="12" t="s">
        <v>33</v>
      </c>
      <c r="F135" s="14" t="s">
        <v>329</v>
      </c>
      <c r="G135" s="16">
        <v>2.0</v>
      </c>
      <c r="H135" s="22">
        <v>1.0</v>
      </c>
      <c r="I135" s="16">
        <v>2.0</v>
      </c>
      <c r="J135" s="16">
        <f t="shared" si="4"/>
        <v>2</v>
      </c>
      <c r="K135" s="16">
        <f t="shared" si="5"/>
        <v>2</v>
      </c>
      <c r="L135" s="16">
        <f t="shared" si="6"/>
        <v>2</v>
      </c>
      <c r="M135" s="18" t="s">
        <v>15</v>
      </c>
      <c r="N135" s="18" t="s">
        <v>15</v>
      </c>
      <c r="O135" s="18" t="s">
        <v>29</v>
      </c>
      <c r="P135" s="18" t="s">
        <v>29</v>
      </c>
      <c r="Q135" s="18"/>
      <c r="R135" s="18" t="s">
        <v>29</v>
      </c>
      <c r="S135" s="18" t="s">
        <v>30</v>
      </c>
      <c r="T135" s="19"/>
      <c r="U135" s="19"/>
    </row>
    <row r="136" ht="12.0" customHeight="1">
      <c r="B136" s="29" t="s">
        <v>83</v>
      </c>
      <c r="C136" s="12" t="s">
        <v>330</v>
      </c>
      <c r="D136" s="12" t="s">
        <v>27</v>
      </c>
      <c r="E136" s="12" t="s">
        <v>33</v>
      </c>
      <c r="F136" s="14" t="s">
        <v>331</v>
      </c>
      <c r="G136" s="16">
        <v>2.0</v>
      </c>
      <c r="H136" s="22">
        <v>1.0</v>
      </c>
      <c r="I136" s="16">
        <v>2.0</v>
      </c>
      <c r="J136" s="16">
        <f t="shared" si="4"/>
        <v>2</v>
      </c>
      <c r="K136" s="16">
        <f t="shared" si="5"/>
        <v>2</v>
      </c>
      <c r="L136" s="16">
        <f t="shared" si="6"/>
        <v>2</v>
      </c>
      <c r="M136" s="18" t="s">
        <v>15</v>
      </c>
      <c r="N136" s="18" t="s">
        <v>15</v>
      </c>
      <c r="O136" s="18" t="s">
        <v>29</v>
      </c>
      <c r="P136" s="18" t="s">
        <v>29</v>
      </c>
      <c r="Q136" s="18"/>
      <c r="R136" s="18" t="s">
        <v>29</v>
      </c>
      <c r="S136" s="18" t="s">
        <v>30</v>
      </c>
      <c r="T136" s="19"/>
      <c r="U136" s="19"/>
    </row>
    <row r="137" ht="12.0" customHeight="1">
      <c r="B137" s="29" t="s">
        <v>24</v>
      </c>
      <c r="C137" s="12" t="s">
        <v>332</v>
      </c>
      <c r="D137" s="12" t="s">
        <v>27</v>
      </c>
      <c r="E137" s="12" t="s">
        <v>24</v>
      </c>
      <c r="F137" s="14" t="s">
        <v>333</v>
      </c>
      <c r="G137" s="16">
        <v>2.0</v>
      </c>
      <c r="H137" s="22">
        <v>1.0</v>
      </c>
      <c r="I137" s="16">
        <v>2.0</v>
      </c>
      <c r="J137" s="16">
        <f t="shared" si="4"/>
        <v>2</v>
      </c>
      <c r="K137" s="16">
        <f t="shared" si="5"/>
        <v>2</v>
      </c>
      <c r="L137" s="16">
        <f t="shared" si="6"/>
        <v>2</v>
      </c>
      <c r="M137" s="18" t="s">
        <v>15</v>
      </c>
      <c r="N137" s="18" t="s">
        <v>15</v>
      </c>
      <c r="O137" s="18" t="s">
        <v>29</v>
      </c>
      <c r="P137" s="18" t="s">
        <v>29</v>
      </c>
      <c r="Q137" s="18"/>
      <c r="R137" s="18" t="s">
        <v>29</v>
      </c>
      <c r="S137" s="18" t="s">
        <v>30</v>
      </c>
      <c r="T137" s="19"/>
      <c r="U137" s="19"/>
    </row>
    <row r="138" ht="14.25" customHeight="1">
      <c r="B138" s="29" t="s">
        <v>24</v>
      </c>
      <c r="C138" s="12" t="s">
        <v>334</v>
      </c>
      <c r="D138" s="12" t="s">
        <v>27</v>
      </c>
      <c r="E138" s="14" t="s">
        <v>24</v>
      </c>
      <c r="F138" s="21" t="s">
        <v>335</v>
      </c>
      <c r="G138" s="16">
        <v>2.0</v>
      </c>
      <c r="H138" s="22">
        <v>1.0</v>
      </c>
      <c r="I138" s="16">
        <v>2.0</v>
      </c>
      <c r="J138" s="16">
        <f t="shared" si="4"/>
        <v>2</v>
      </c>
      <c r="K138" s="16">
        <f t="shared" si="5"/>
        <v>2</v>
      </c>
      <c r="L138" s="16">
        <f t="shared" si="6"/>
        <v>2</v>
      </c>
      <c r="M138" s="18" t="s">
        <v>15</v>
      </c>
      <c r="N138" s="18" t="s">
        <v>15</v>
      </c>
      <c r="O138" s="18" t="s">
        <v>29</v>
      </c>
      <c r="P138" s="18" t="s">
        <v>29</v>
      </c>
      <c r="Q138" s="18"/>
      <c r="R138" s="18" t="s">
        <v>29</v>
      </c>
      <c r="S138" s="18" t="s">
        <v>30</v>
      </c>
      <c r="T138" s="19"/>
      <c r="U138" s="19"/>
    </row>
    <row r="139" ht="14.25" customHeight="1">
      <c r="B139" s="31" t="s">
        <v>24</v>
      </c>
      <c r="C139" s="14" t="s">
        <v>336</v>
      </c>
      <c r="D139" s="14" t="s">
        <v>27</v>
      </c>
      <c r="E139" s="14" t="s">
        <v>24</v>
      </c>
      <c r="F139" s="21" t="s">
        <v>337</v>
      </c>
      <c r="G139" s="16">
        <v>1.0</v>
      </c>
      <c r="H139" s="16">
        <v>2.0</v>
      </c>
      <c r="I139" s="16">
        <v>1.0</v>
      </c>
      <c r="J139" s="16">
        <f t="shared" si="4"/>
        <v>1</v>
      </c>
      <c r="K139" s="16">
        <f t="shared" si="5"/>
        <v>1</v>
      </c>
      <c r="L139" s="16">
        <f t="shared" si="6"/>
        <v>1</v>
      </c>
      <c r="M139" s="18" t="s">
        <v>15</v>
      </c>
      <c r="N139" s="18" t="s">
        <v>29</v>
      </c>
      <c r="O139" s="18" t="s">
        <v>29</v>
      </c>
      <c r="P139" s="18" t="s">
        <v>29</v>
      </c>
      <c r="Q139" s="18"/>
      <c r="R139" s="18" t="s">
        <v>29</v>
      </c>
      <c r="S139" s="18" t="s">
        <v>30</v>
      </c>
      <c r="T139" s="19"/>
      <c r="U139" s="19"/>
    </row>
    <row r="140" ht="14.25" customHeight="1">
      <c r="B140" s="31" t="s">
        <v>24</v>
      </c>
      <c r="C140" s="14" t="s">
        <v>338</v>
      </c>
      <c r="D140" s="14" t="s">
        <v>27</v>
      </c>
      <c r="E140" s="14" t="s">
        <v>24</v>
      </c>
      <c r="F140" s="21" t="s">
        <v>339</v>
      </c>
      <c r="G140" s="16">
        <v>1.0</v>
      </c>
      <c r="H140" s="16">
        <v>1.0</v>
      </c>
      <c r="I140" s="16">
        <v>1.0</v>
      </c>
      <c r="J140" s="16">
        <f t="shared" si="4"/>
        <v>1</v>
      </c>
      <c r="K140" s="16">
        <f t="shared" si="5"/>
        <v>1</v>
      </c>
      <c r="L140" s="16">
        <f t="shared" si="6"/>
        <v>1</v>
      </c>
      <c r="M140" s="18" t="s">
        <v>15</v>
      </c>
      <c r="N140" s="18" t="s">
        <v>29</v>
      </c>
      <c r="O140" s="18" t="s">
        <v>29</v>
      </c>
      <c r="P140" s="18" t="s">
        <v>29</v>
      </c>
      <c r="Q140" s="18"/>
      <c r="R140" s="18" t="s">
        <v>29</v>
      </c>
      <c r="S140" s="18" t="s">
        <v>30</v>
      </c>
      <c r="T140" s="19"/>
      <c r="U140" s="19"/>
    </row>
    <row r="141" ht="14.25" customHeight="1">
      <c r="B141" s="31" t="s">
        <v>24</v>
      </c>
      <c r="C141" s="14" t="s">
        <v>340</v>
      </c>
      <c r="D141" s="14" t="s">
        <v>27</v>
      </c>
      <c r="E141" s="14" t="s">
        <v>24</v>
      </c>
      <c r="F141" s="21" t="s">
        <v>341</v>
      </c>
      <c r="G141" s="16">
        <v>1.0</v>
      </c>
      <c r="H141" s="16">
        <v>1.0</v>
      </c>
      <c r="I141" s="16">
        <v>1.0</v>
      </c>
      <c r="J141" s="16">
        <f t="shared" si="4"/>
        <v>1</v>
      </c>
      <c r="K141" s="16">
        <f t="shared" si="5"/>
        <v>1</v>
      </c>
      <c r="L141" s="16">
        <f t="shared" si="6"/>
        <v>1</v>
      </c>
      <c r="M141" s="18" t="s">
        <v>15</v>
      </c>
      <c r="N141" s="18" t="s">
        <v>29</v>
      </c>
      <c r="O141" s="18" t="s">
        <v>29</v>
      </c>
      <c r="P141" s="18" t="s">
        <v>29</v>
      </c>
      <c r="Q141" s="18"/>
      <c r="R141" s="18" t="s">
        <v>29</v>
      </c>
      <c r="S141" s="18" t="s">
        <v>30</v>
      </c>
      <c r="T141" s="19"/>
      <c r="U141" s="19"/>
    </row>
    <row r="142" ht="14.25" customHeight="1">
      <c r="B142" s="32"/>
      <c r="C142" s="33"/>
      <c r="D142" s="33"/>
      <c r="E142" s="33"/>
      <c r="F142" s="34"/>
      <c r="G142" s="34"/>
      <c r="H142" s="34"/>
      <c r="I142" s="35"/>
      <c r="J142" s="35"/>
      <c r="K142" s="35"/>
      <c r="L142" s="35"/>
    </row>
    <row r="143" ht="14.25" customHeight="1">
      <c r="B143" s="36" t="s">
        <v>342</v>
      </c>
      <c r="C143" s="37">
        <f>COUNTIF(C2:C142,"*")</f>
        <v>140</v>
      </c>
      <c r="D143" s="37"/>
      <c r="E143" s="37"/>
      <c r="F143" s="36"/>
      <c r="G143" s="38">
        <f t="shared" ref="G143:L143" si="7">SUM(G2:G142)</f>
        <v>264</v>
      </c>
      <c r="H143" s="38">
        <f t="shared" si="7"/>
        <v>187</v>
      </c>
      <c r="I143" s="38">
        <f t="shared" si="7"/>
        <v>239</v>
      </c>
      <c r="J143" s="38">
        <f t="shared" si="7"/>
        <v>237</v>
      </c>
      <c r="K143" s="38">
        <f t="shared" si="7"/>
        <v>237</v>
      </c>
      <c r="L143" s="38">
        <f t="shared" si="7"/>
        <v>237</v>
      </c>
      <c r="R143" s="38">
        <v>18.0</v>
      </c>
    </row>
    <row r="144" ht="14.25" customHeight="1">
      <c r="B144" s="36"/>
      <c r="C144" s="37"/>
      <c r="D144" s="36"/>
      <c r="E144" s="36"/>
      <c r="F144" s="36"/>
      <c r="G144" s="36"/>
      <c r="H144" s="36"/>
      <c r="I144" s="36"/>
      <c r="J144" s="36"/>
      <c r="K144" s="36"/>
      <c r="L144" s="36"/>
    </row>
    <row r="145" ht="14.25" customHeight="1"/>
    <row r="146" ht="14.25" hidden="1" customHeight="1">
      <c r="B146" s="39" t="s">
        <v>343</v>
      </c>
      <c r="E146" s="40">
        <v>140.0</v>
      </c>
      <c r="V146" s="39">
        <v>9.0</v>
      </c>
    </row>
    <row r="147" ht="14.25" hidden="1" customHeight="1">
      <c r="B147" s="39" t="s">
        <v>10</v>
      </c>
      <c r="E147" s="40">
        <v>27.0</v>
      </c>
      <c r="V147" s="39">
        <v>6.0</v>
      </c>
    </row>
    <row r="148" ht="14.25" hidden="1" customHeight="1">
      <c r="B148" s="39" t="s">
        <v>15</v>
      </c>
      <c r="E148" s="40">
        <v>237.0</v>
      </c>
    </row>
    <row r="149" ht="14.25" hidden="1" customHeight="1">
      <c r="B149" s="39" t="s">
        <v>9</v>
      </c>
      <c r="E149" s="40">
        <v>237.0</v>
      </c>
    </row>
    <row r="150" ht="14.25" hidden="1" customHeight="1"/>
    <row r="151" ht="14.25" hidden="1" customHeight="1">
      <c r="B151" s="41" t="s">
        <v>20</v>
      </c>
      <c r="C151" s="42"/>
      <c r="D151" s="5"/>
      <c r="E151" s="9">
        <v>54.0</v>
      </c>
    </row>
    <row r="152" ht="14.25" hidden="1" customHeight="1">
      <c r="B152" s="41" t="s">
        <v>25</v>
      </c>
      <c r="C152" s="42"/>
      <c r="D152" s="5"/>
      <c r="E152" s="9">
        <v>86.0</v>
      </c>
    </row>
    <row r="153" ht="14.25" hidden="1" customHeight="1">
      <c r="B153" s="13"/>
      <c r="C153" s="42"/>
      <c r="D153" s="5"/>
      <c r="E153" s="9">
        <f>SUBTOTAL(9,E151:E152)</f>
        <v>140</v>
      </c>
    </row>
    <row r="154" ht="14.25" hidden="1" customHeight="1"/>
    <row r="155" ht="14.25" hidden="1" customHeight="1"/>
    <row r="156" ht="14.25" hidden="1" customHeight="1">
      <c r="B156" s="41" t="s">
        <v>344</v>
      </c>
      <c r="C156" s="42"/>
      <c r="D156" s="5"/>
      <c r="E156" s="9">
        <v>15.0</v>
      </c>
    </row>
    <row r="157" ht="14.25" hidden="1" customHeight="1">
      <c r="B157" s="41" t="s">
        <v>345</v>
      </c>
      <c r="C157" s="42"/>
      <c r="D157" s="5"/>
      <c r="E157" s="9">
        <v>12.0</v>
      </c>
    </row>
    <row r="158" ht="14.25" hidden="1" customHeight="1">
      <c r="B158" s="13"/>
      <c r="C158" s="42"/>
      <c r="D158" s="5"/>
      <c r="E158" s="17">
        <f>SUBTOTAL(9,E156:E157)</f>
        <v>27</v>
      </c>
    </row>
    <row r="159" ht="14.25" hidden="1" customHeight="1">
      <c r="E159" s="40"/>
    </row>
    <row r="160" ht="14.25" hidden="1" customHeight="1">
      <c r="B160" s="41" t="s">
        <v>346</v>
      </c>
      <c r="C160" s="42"/>
      <c r="D160" s="5"/>
      <c r="E160" s="9">
        <v>78.0</v>
      </c>
    </row>
    <row r="161" ht="14.25" hidden="1" customHeight="1">
      <c r="B161" s="41" t="s">
        <v>347</v>
      </c>
      <c r="C161" s="42"/>
      <c r="D161" s="5"/>
      <c r="E161" s="9">
        <v>159.0</v>
      </c>
    </row>
    <row r="162" ht="14.25" hidden="1" customHeight="1">
      <c r="B162" s="13"/>
      <c r="C162" s="42"/>
      <c r="D162" s="5"/>
      <c r="E162" s="17">
        <f>SUBTOTAL(9,E160:E161)</f>
        <v>237</v>
      </c>
    </row>
    <row r="163" ht="14.25" hidden="1" customHeight="1">
      <c r="E163" s="40"/>
    </row>
    <row r="164" ht="14.25" hidden="1" customHeight="1">
      <c r="B164" s="36" t="s">
        <v>348</v>
      </c>
      <c r="C164" s="36"/>
      <c r="D164" s="36"/>
      <c r="E164" s="37">
        <f>E158+E162</f>
        <v>264</v>
      </c>
    </row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U$141"/>
  <mergeCells count="9">
    <mergeCell ref="B161:D161"/>
    <mergeCell ref="B162:D162"/>
    <mergeCell ref="B151:D151"/>
    <mergeCell ref="B152:D152"/>
    <mergeCell ref="B153:D153"/>
    <mergeCell ref="B156:D156"/>
    <mergeCell ref="B157:D157"/>
    <mergeCell ref="B158:D158"/>
    <mergeCell ref="B160:D160"/>
  </mergeCells>
  <printOptions/>
  <pageMargins bottom="0.18" footer="0.0" header="0.0" left="0.16" right="0.16" top="0.15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14"/>
    <col customWidth="1" min="3" max="3" width="10.71"/>
    <col customWidth="1" min="4" max="4" width="17.71"/>
    <col customWidth="1" min="5" max="5" width="10.71"/>
    <col customWidth="1" min="6" max="6" width="16.71"/>
    <col customWidth="1" min="7" max="26" width="10.71"/>
  </cols>
  <sheetData>
    <row r="1" ht="14.25" customHeight="1"/>
    <row r="2" ht="14.25" customHeight="1">
      <c r="B2" s="3" t="s">
        <v>1</v>
      </c>
      <c r="C2" s="5"/>
      <c r="D2" s="7" t="s">
        <v>10</v>
      </c>
      <c r="E2" s="7" t="s">
        <v>15</v>
      </c>
      <c r="F2" s="7" t="s">
        <v>9</v>
      </c>
    </row>
    <row r="3" ht="14.25" customHeight="1">
      <c r="B3" s="8" t="s">
        <v>20</v>
      </c>
      <c r="C3" s="9">
        <v>54.0</v>
      </c>
      <c r="D3" s="9">
        <v>15.0</v>
      </c>
      <c r="E3" s="9">
        <v>78.0</v>
      </c>
      <c r="F3" s="9">
        <v>78.0</v>
      </c>
    </row>
    <row r="4" ht="14.25" customHeight="1">
      <c r="B4" s="8" t="s">
        <v>25</v>
      </c>
      <c r="C4" s="9">
        <v>86.0</v>
      </c>
      <c r="D4" s="9">
        <v>12.0</v>
      </c>
      <c r="E4" s="9">
        <v>159.0</v>
      </c>
      <c r="F4" s="9">
        <v>159.0</v>
      </c>
    </row>
    <row r="5" ht="14.25" customHeight="1">
      <c r="B5" s="13"/>
      <c r="C5" s="17">
        <f>SUBTOTAL(9,C3:C4)</f>
        <v>140</v>
      </c>
      <c r="D5" s="17">
        <f t="shared" ref="D5:F5" si="1">SUM(D3:D4)</f>
        <v>27</v>
      </c>
      <c r="E5" s="17">
        <f t="shared" si="1"/>
        <v>237</v>
      </c>
      <c r="F5" s="17">
        <f t="shared" si="1"/>
        <v>237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