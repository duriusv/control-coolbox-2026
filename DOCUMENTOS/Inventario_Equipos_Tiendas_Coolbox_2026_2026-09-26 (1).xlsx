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ario POS" state="visible" r:id="rId4"/>
    <sheet sheetId="2" name="Inventario PDA" state="visible" r:id="rId5"/>
    <sheet sheetId="3" name="PDA" state="visible" r:id="rId6"/>
  </sheets>
  <calcPr calcId="171027"/>
</workbook>
</file>

<file path=xl/sharedStrings.xml><?xml version="1.0" encoding="utf-8"?>
<sst xmlns="http://schemas.openxmlformats.org/spreadsheetml/2006/main" count="644" uniqueCount="183">
  <si>
    <t>INVENTARIO DE EQUIPOS – POS EN PRODUCCIÓN (2 TIENDAS REALIZADAS)</t>
  </si>
  <si>
    <t>Tiendas</t>
  </si>
  <si>
    <t>Equipos</t>
  </si>
  <si>
    <t>Con serie</t>
  </si>
  <si>
    <t>Con cód. inventario</t>
  </si>
  <si>
    <t>Operativos</t>
  </si>
  <si>
    <t>No operativos</t>
  </si>
  <si>
    <t>Pendientes</t>
  </si>
  <si>
    <t>Llenar solo las celdas crema (MARCA a OBSERVACIONES). Usar los filtros de la fila de títulos para buscar por tienda, ciudad, zona o equipo. Ej.: Epson | TM-T20III | X5E1234567 | INV-000123</t>
  </si>
  <si>
    <t>N°</t>
  </si>
  <si>
    <t>COD TIENDA</t>
  </si>
  <si>
    <t>CIUDAD</t>
  </si>
  <si>
    <t>ZONA</t>
  </si>
  <si>
    <t>DIRECCION</t>
  </si>
  <si>
    <t>INVENTARIO</t>
  </si>
  <si>
    <t>EQUIPO</t>
  </si>
  <si>
    <t>HOSTNAME</t>
  </si>
  <si>
    <t>MARCA</t>
  </si>
  <si>
    <t>MODELO</t>
  </si>
  <si>
    <t>SERIE</t>
  </si>
  <si>
    <t>COD INVENTARIO</t>
  </si>
  <si>
    <t>ESTADO</t>
  </si>
  <si>
    <t>OPERATIVO</t>
  </si>
  <si>
    <t>RESPONSABLE</t>
  </si>
  <si>
    <t>FECHA</t>
  </si>
  <si>
    <t>OBSERVACIONES</t>
  </si>
  <si>
    <t>K72</t>
  </si>
  <si>
    <t>IQUITOS</t>
  </si>
  <si>
    <t>PROVINCIA</t>
  </si>
  <si>
    <t>JR. BAP PROSPERO 259 - A 1/2 CDRA DE PZA DE ARMAS-257-259-261-IQUITOS</t>
  </si>
  <si>
    <t>POS EN PRODUCCIÓN</t>
  </si>
  <si>
    <t>All in One CAJA01</t>
  </si>
  <si>
    <t/>
  </si>
  <si>
    <t>ICG</t>
  </si>
  <si>
    <t>BEATLEPOS II - I3</t>
  </si>
  <si>
    <t>15SGCL225N0170</t>
  </si>
  <si>
    <t>-</t>
  </si>
  <si>
    <t>Bueno</t>
  </si>
  <si>
    <t>Sí</t>
  </si>
  <si>
    <t>DIEGO ALEJANDRO RODRÍGUEZ MARTÍNEZ</t>
  </si>
  <si>
    <t>28/09/2026, 19:30 hrs</t>
  </si>
  <si>
    <t>Ticketera CAJA01</t>
  </si>
  <si>
    <t>EPSON</t>
  </si>
  <si>
    <t>TM-T20II</t>
  </si>
  <si>
    <t>TC6Y176259</t>
  </si>
  <si>
    <t>25-68942</t>
  </si>
  <si>
    <t>Lector de codigo de barras CAJA01</t>
  </si>
  <si>
    <t>ZEBRA</t>
  </si>
  <si>
    <t>DS2278</t>
  </si>
  <si>
    <t>21050523701861</t>
  </si>
  <si>
    <t>25-68953</t>
  </si>
  <si>
    <t>Gaveta de Dinero CAJA01</t>
  </si>
  <si>
    <t>DYNAPOS</t>
  </si>
  <si>
    <t>DYN-CD800G</t>
  </si>
  <si>
    <t>800G151013963</t>
  </si>
  <si>
    <t>25-68949</t>
  </si>
  <si>
    <t>All in One CAJA02</t>
  </si>
  <si>
    <t>HISTONE</t>
  </si>
  <si>
    <t>HK578U</t>
  </si>
  <si>
    <t>1S1AYVRP0A0004939000030</t>
  </si>
  <si>
    <t>Ticketera CAJA02</t>
  </si>
  <si>
    <t>X39D011772</t>
  </si>
  <si>
    <t>25-68948</t>
  </si>
  <si>
    <t>Lector de codigo de barras CAJA02</t>
  </si>
  <si>
    <t>21049523702743</t>
  </si>
  <si>
    <t>25-68952</t>
  </si>
  <si>
    <t>Gaveta de Dinero CAJA02</t>
  </si>
  <si>
    <t>STAR MICRONICS</t>
  </si>
  <si>
    <t>37965600</t>
  </si>
  <si>
    <t>16161000226801</t>
  </si>
  <si>
    <t>Impresora Láser / Tinta</t>
  </si>
  <si>
    <t>HP</t>
  </si>
  <si>
    <t>LASERJET PRO M12W</t>
  </si>
  <si>
    <t>VNCY518886</t>
  </si>
  <si>
    <t>25-68950</t>
  </si>
  <si>
    <t>BACKUP / ALMACÉN</t>
  </si>
  <si>
    <t>All in One BACKUP</t>
  </si>
  <si>
    <t>BEATLEPOS II - I5</t>
  </si>
  <si>
    <t>15SGCL231N0219</t>
  </si>
  <si>
    <t>Ticketera BACKUP</t>
  </si>
  <si>
    <t>TC6Y524818</t>
  </si>
  <si>
    <t>Lector de codigo de barras BACKUP</t>
  </si>
  <si>
    <t>DS2208</t>
  </si>
  <si>
    <t>19043010500381</t>
  </si>
  <si>
    <t>Impresora Inalámbrica de Recibos</t>
  </si>
  <si>
    <t>TM-P80</t>
  </si>
  <si>
    <t>X2VQ003545</t>
  </si>
  <si>
    <t>Malo</t>
  </si>
  <si>
    <t>No</t>
  </si>
  <si>
    <t>X2VQ003222</t>
  </si>
  <si>
    <t>T78</t>
  </si>
  <si>
    <t>AV. JOSE ABELARDO QUIÑONES LOTE NINFAS 2; SAN JUAN BAUTISTA B-1015 -IQUITOS-LORETO</t>
  </si>
  <si>
    <t>ICT78</t>
  </si>
  <si>
    <t>1S1AYVRP0A0004939000005</t>
  </si>
  <si>
    <t>29/09/2026, 21:09 hrs</t>
  </si>
  <si>
    <t>X7AT292412</t>
  </si>
  <si>
    <t>25-68709</t>
  </si>
  <si>
    <t>ZERA</t>
  </si>
  <si>
    <t>DS22</t>
  </si>
  <si>
    <t>22360523700317</t>
  </si>
  <si>
    <t>25-68711</t>
  </si>
  <si>
    <t>EC-LINE</t>
  </si>
  <si>
    <t>CD-400</t>
  </si>
  <si>
    <t>DGCO270520220250</t>
  </si>
  <si>
    <t>25-68710</t>
  </si>
  <si>
    <t>Ups / Estabilizador CAJA01</t>
  </si>
  <si>
    <t>RADIOSHACK</t>
  </si>
  <si>
    <t>2733354</t>
  </si>
  <si>
    <t>E2104137213</t>
  </si>
  <si>
    <t>ITT78</t>
  </si>
  <si>
    <t>1SAYVRP0A0004939000125</t>
  </si>
  <si>
    <t>Monitor secundario Dell Vta360</t>
  </si>
  <si>
    <t>DELL</t>
  </si>
  <si>
    <t>VTA360</t>
  </si>
  <si>
    <t>CN0NH7J1FCC000AHA3DLA04</t>
  </si>
  <si>
    <t>25-68720</t>
  </si>
  <si>
    <t>X7AT292390</t>
  </si>
  <si>
    <t>25-68708</t>
  </si>
  <si>
    <t>22360523700334</t>
  </si>
  <si>
    <t>25-68712</t>
  </si>
  <si>
    <t>DGCO270520220210</t>
  </si>
  <si>
    <t>25-68707</t>
  </si>
  <si>
    <t>Ups / Estabilizador CAJA02</t>
  </si>
  <si>
    <t>APC</t>
  </si>
  <si>
    <t>BV800I-MS</t>
  </si>
  <si>
    <t>9B2227A07611</t>
  </si>
  <si>
    <t>Huellero</t>
  </si>
  <si>
    <t>HID</t>
  </si>
  <si>
    <t>ESTÁNDAR</t>
  </si>
  <si>
    <t>SIN-SERIE-VISIBLE</t>
  </si>
  <si>
    <t>25-68715</t>
  </si>
  <si>
    <t>X2VQ005112</t>
  </si>
  <si>
    <t>9B2227A07612</t>
  </si>
  <si>
    <t>INVENTARIO DE PDA (2 TIENDAS REALIZADAS)</t>
  </si>
  <si>
    <t>Inoperativos</t>
  </si>
  <si>
    <t>Con IMEI</t>
  </si>
  <si>
    <t>Marcas:</t>
  </si>
  <si>
    <t>SUNMI</t>
  </si>
  <si>
    <t>SHIJI</t>
  </si>
  <si>
    <t>HONEYWELL</t>
  </si>
  <si>
    <t>UNITECH</t>
  </si>
  <si>
    <t>Llenar solo las celdas crema (MARCA a COMENTARIO). MARCA y ESTADO se eligen de la lista. Usar los filtros de la fila de títulos. Ej.: SUNMI | L2s | L2S1234567 | INV-000123 | 123 456 789 | 356789012345678</t>
  </si>
  <si>
    <t>ANYDESK</t>
  </si>
  <si>
    <t>ANDROID IMEI</t>
  </si>
  <si>
    <t>COMENTARIO</t>
  </si>
  <si>
    <t>PDA01</t>
  </si>
  <si>
    <t>V2S / T5940</t>
  </si>
  <si>
    <t>V3L5256V20030</t>
  </si>
  <si>
    <t>d47838cfb49e4196</t>
  </si>
  <si>
    <t>PDA02</t>
  </si>
  <si>
    <t>V3L5256T20338</t>
  </si>
  <si>
    <t>5edd99d80e2d40a3</t>
  </si>
  <si>
    <t>PDA03</t>
  </si>
  <si>
    <t>V3L5256T20382</t>
  </si>
  <si>
    <t>dc6b723044128796</t>
  </si>
  <si>
    <t>PDA04</t>
  </si>
  <si>
    <t>V3L5256T20250</t>
  </si>
  <si>
    <t>fc22079dbd0f6719</t>
  </si>
  <si>
    <t>V3L5256V20012</t>
  </si>
  <si>
    <t>a1d28166ef503709</t>
  </si>
  <si>
    <t>V3L5257X20935</t>
  </si>
  <si>
    <t>0094d4f521da5198</t>
  </si>
  <si>
    <t>V3L5256T20432</t>
  </si>
  <si>
    <t>c37a211993f3921c</t>
  </si>
  <si>
    <t>EDA51-1</t>
  </si>
  <si>
    <t>2215B0CC0</t>
  </si>
  <si>
    <t>25-68716</t>
  </si>
  <si>
    <t>CLASIFICACION</t>
  </si>
  <si>
    <t>REF</t>
  </si>
  <si>
    <t>Equipos Asignado</t>
  </si>
  <si>
    <t>VTAMOVIL AGOSTO</t>
  </si>
  <si>
    <t>CAJAS FIJAS</t>
  </si>
  <si>
    <t>TICKETERA</t>
  </si>
  <si>
    <t>LECTOR</t>
  </si>
  <si>
    <t>GAVETA</t>
  </si>
  <si>
    <t>SERVIDOR</t>
  </si>
  <si>
    <t>MANT</t>
  </si>
  <si>
    <t>ADICIONAL SEPT</t>
  </si>
  <si>
    <t>TOTAL SEPT.</t>
  </si>
  <si>
    <t>ORO</t>
  </si>
  <si>
    <t>no tiene</t>
  </si>
  <si>
    <t>si</t>
  </si>
  <si>
    <t>BRONCE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</si>
</sst>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14"/>
      <name val="Arial"/>
    </font>
    <font>
      <b/>
      <color rgb="FF1F4E78"/>
      <sz val="10"/>
      <name val="Arial"/>
    </font>
    <font>
      <b/>
      <color rgb="FF1F4E78"/>
      <sz val="11"/>
      <name val="Arial"/>
    </font>
    <font>
      <i/>
      <color rgb="FF595959"/>
      <sz val="9"/>
      <name val="Arial"/>
    </font>
    <font>
      <b/>
      <color rgb="FFFFFFFF"/>
      <sz val="11"/>
      <name val="Arial"/>
    </font>
    <font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49" fontId="6" fillId="4" borderId="1" xfId="0" applyNumberFormat="1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"/>
  <sheetViews>
    <sheetView workbookViewId="0"/>
  </sheetViews>
  <sheetFormatPr defaultRowHeight="15" outlineLevelRow="0" outlineLevelCol="0" x14ac:dyDescent="55"/>
  <cols>
    <col min="1" max="1" width="7" customWidth="1"/>
    <col min="2" max="2" width="14" customWidth="1"/>
    <col min="3" max="4" width="16" customWidth="1"/>
    <col min="5" max="5" width="45" customWidth="1"/>
    <col min="6" max="6" width="22" customWidth="1"/>
    <col min="7" max="7" width="26" customWidth="1"/>
    <col min="8" max="9" width="18" customWidth="1"/>
    <col min="10" max="12" width="20" customWidth="1"/>
    <col min="13" max="14" width="14" customWidth="1"/>
    <col min="15" max="15" width="24" customWidth="1"/>
    <col min="16" max="16" width="14" customWidth="1"/>
    <col min="17" max="17" width="32" customWidth="1"/>
  </cols>
  <sheetData>
    <row r="1" ht="32" customHeight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ht="24" customHeight="1" spans="2:16" x14ac:dyDescent="0.25">
      <c r="B3" s="2" t="s">
        <v>1</v>
      </c>
      <c r="C3" s="3">
        <f>SUMPRODUCT((B6:B33&lt;&gt;"")/COUNTIF(B6:B33,B6:B33&amp;""))</f>
      </c>
      <c r="D3" s="2" t="s">
        <v>2</v>
      </c>
      <c r="E3" s="3">
        <f>COUNTA(G6:G33)</f>
      </c>
      <c r="F3" s="2" t="s">
        <v>3</v>
      </c>
      <c r="G3" s="3">
        <f>COUNTA(K6:K33)</f>
      </c>
      <c r="I3" s="2" t="s">
        <v>4</v>
      </c>
      <c r="J3" s="3">
        <f>COUNTA(L6:L33)</f>
      </c>
      <c r="K3" s="2" t="s">
        <v>5</v>
      </c>
      <c r="L3" s="3">
        <f>COUNTIF(N6:N33,"Sí")</f>
      </c>
      <c r="M3" s="2" t="s">
        <v>6</v>
      </c>
      <c r="N3" s="3">
        <f>COUNTIF(N6:N33,"No")</f>
      </c>
      <c r="O3" s="2" t="s">
        <v>7</v>
      </c>
      <c r="P3" s="3">
        <f>COUNTA(G6:G33)-COUNTA(M6:M33)</f>
      </c>
    </row>
    <row r="4" ht="20" customHeight="1" spans="2:17" x14ac:dyDescent="0.25">
      <c r="B4" s="4" t="s">
        <v>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28" customHeight="1" spans="1:17" x14ac:dyDescent="0.25">
      <c r="A5" s="5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5" t="s">
        <v>16</v>
      </c>
      <c r="I5" s="5" t="s">
        <v>17</v>
      </c>
      <c r="J5" s="5" t="s">
        <v>18</v>
      </c>
      <c r="K5" s="5" t="s">
        <v>19</v>
      </c>
      <c r="L5" s="5" t="s">
        <v>20</v>
      </c>
      <c r="M5" s="5" t="s">
        <v>21</v>
      </c>
      <c r="N5" s="5" t="s">
        <v>22</v>
      </c>
      <c r="O5" s="5" t="s">
        <v>23</v>
      </c>
      <c r="P5" s="5" t="s">
        <v>24</v>
      </c>
      <c r="Q5" s="5" t="s">
        <v>25</v>
      </c>
    </row>
    <row r="6" ht="20" customHeight="1" spans="1:17" x14ac:dyDescent="0.25">
      <c r="A6" s="6">
        <v>1</v>
      </c>
      <c r="B6" s="6" t="s">
        <v>26</v>
      </c>
      <c r="C6" s="7" t="s">
        <v>27</v>
      </c>
      <c r="D6" s="7" t="s">
        <v>28</v>
      </c>
      <c r="E6" s="7" t="s">
        <v>29</v>
      </c>
      <c r="F6" s="6" t="s">
        <v>30</v>
      </c>
      <c r="G6" s="7" t="s">
        <v>31</v>
      </c>
      <c r="H6" s="8" t="s">
        <v>32</v>
      </c>
      <c r="I6" s="8" t="s">
        <v>33</v>
      </c>
      <c r="J6" s="8" t="s">
        <v>34</v>
      </c>
      <c r="K6" s="9" t="s">
        <v>35</v>
      </c>
      <c r="L6" s="9" t="s">
        <v>36</v>
      </c>
      <c r="M6" s="10" t="s">
        <v>37</v>
      </c>
      <c r="N6" s="10" t="s">
        <v>38</v>
      </c>
      <c r="O6" s="8" t="s">
        <v>39</v>
      </c>
      <c r="P6" s="10" t="s">
        <v>40</v>
      </c>
      <c r="Q6" s="8" t="s">
        <v>32</v>
      </c>
    </row>
    <row r="7" ht="20" customHeight="1" spans="1:17" x14ac:dyDescent="0.25">
      <c r="A7" s="6">
        <v>2</v>
      </c>
      <c r="B7" s="6" t="s">
        <v>26</v>
      </c>
      <c r="C7" s="7" t="s">
        <v>27</v>
      </c>
      <c r="D7" s="7" t="s">
        <v>28</v>
      </c>
      <c r="E7" s="7" t="s">
        <v>29</v>
      </c>
      <c r="F7" s="6" t="s">
        <v>30</v>
      </c>
      <c r="G7" s="7" t="s">
        <v>41</v>
      </c>
      <c r="H7" s="8" t="s">
        <v>32</v>
      </c>
      <c r="I7" s="8" t="s">
        <v>42</v>
      </c>
      <c r="J7" s="8" t="s">
        <v>43</v>
      </c>
      <c r="K7" s="9" t="s">
        <v>44</v>
      </c>
      <c r="L7" s="9" t="s">
        <v>45</v>
      </c>
      <c r="M7" s="10" t="s">
        <v>37</v>
      </c>
      <c r="N7" s="10" t="s">
        <v>38</v>
      </c>
      <c r="O7" s="8" t="s">
        <v>39</v>
      </c>
      <c r="P7" s="10" t="s">
        <v>40</v>
      </c>
      <c r="Q7" s="8" t="s">
        <v>32</v>
      </c>
    </row>
    <row r="8" ht="20" customHeight="1" spans="1:17" x14ac:dyDescent="0.25">
      <c r="A8" s="6">
        <v>3</v>
      </c>
      <c r="B8" s="6" t="s">
        <v>26</v>
      </c>
      <c r="C8" s="7" t="s">
        <v>27</v>
      </c>
      <c r="D8" s="7" t="s">
        <v>28</v>
      </c>
      <c r="E8" s="7" t="s">
        <v>29</v>
      </c>
      <c r="F8" s="6" t="s">
        <v>30</v>
      </c>
      <c r="G8" s="7" t="s">
        <v>46</v>
      </c>
      <c r="H8" s="8" t="s">
        <v>32</v>
      </c>
      <c r="I8" s="8" t="s">
        <v>47</v>
      </c>
      <c r="J8" s="8" t="s">
        <v>48</v>
      </c>
      <c r="K8" s="9" t="s">
        <v>49</v>
      </c>
      <c r="L8" s="9" t="s">
        <v>50</v>
      </c>
      <c r="M8" s="10" t="s">
        <v>37</v>
      </c>
      <c r="N8" s="10" t="s">
        <v>38</v>
      </c>
      <c r="O8" s="8" t="s">
        <v>39</v>
      </c>
      <c r="P8" s="10" t="s">
        <v>40</v>
      </c>
      <c r="Q8" s="8" t="s">
        <v>32</v>
      </c>
    </row>
    <row r="9" ht="20" customHeight="1" spans="1:17" x14ac:dyDescent="0.25">
      <c r="A9" s="6">
        <v>4</v>
      </c>
      <c r="B9" s="6" t="s">
        <v>26</v>
      </c>
      <c r="C9" s="7" t="s">
        <v>27</v>
      </c>
      <c r="D9" s="7" t="s">
        <v>28</v>
      </c>
      <c r="E9" s="7" t="s">
        <v>29</v>
      </c>
      <c r="F9" s="6" t="s">
        <v>30</v>
      </c>
      <c r="G9" s="7" t="s">
        <v>51</v>
      </c>
      <c r="H9" s="8" t="s">
        <v>32</v>
      </c>
      <c r="I9" s="8" t="s">
        <v>52</v>
      </c>
      <c r="J9" s="8" t="s">
        <v>53</v>
      </c>
      <c r="K9" s="9" t="s">
        <v>54</v>
      </c>
      <c r="L9" s="9" t="s">
        <v>55</v>
      </c>
      <c r="M9" s="10" t="s">
        <v>37</v>
      </c>
      <c r="N9" s="10" t="s">
        <v>38</v>
      </c>
      <c r="O9" s="8" t="s">
        <v>39</v>
      </c>
      <c r="P9" s="10" t="s">
        <v>40</v>
      </c>
      <c r="Q9" s="8" t="s">
        <v>32</v>
      </c>
    </row>
    <row r="10" ht="20" customHeight="1" spans="1:17" x14ac:dyDescent="0.25">
      <c r="A10" s="6">
        <v>5</v>
      </c>
      <c r="B10" s="6" t="s">
        <v>26</v>
      </c>
      <c r="C10" s="7" t="s">
        <v>27</v>
      </c>
      <c r="D10" s="7" t="s">
        <v>28</v>
      </c>
      <c r="E10" s="7" t="s">
        <v>29</v>
      </c>
      <c r="F10" s="6" t="s">
        <v>30</v>
      </c>
      <c r="G10" s="7" t="s">
        <v>56</v>
      </c>
      <c r="H10" s="8" t="s">
        <v>32</v>
      </c>
      <c r="I10" s="8" t="s">
        <v>57</v>
      </c>
      <c r="J10" s="8" t="s">
        <v>58</v>
      </c>
      <c r="K10" s="9" t="s">
        <v>59</v>
      </c>
      <c r="L10" s="9" t="s">
        <v>36</v>
      </c>
      <c r="M10" s="10" t="s">
        <v>37</v>
      </c>
      <c r="N10" s="10" t="s">
        <v>38</v>
      </c>
      <c r="O10" s="8" t="s">
        <v>39</v>
      </c>
      <c r="P10" s="10" t="s">
        <v>40</v>
      </c>
      <c r="Q10" s="8" t="s">
        <v>32</v>
      </c>
    </row>
    <row r="11" ht="20" customHeight="1" spans="1:17" x14ac:dyDescent="0.25">
      <c r="A11" s="6">
        <v>6</v>
      </c>
      <c r="B11" s="6" t="s">
        <v>26</v>
      </c>
      <c r="C11" s="7" t="s">
        <v>27</v>
      </c>
      <c r="D11" s="7" t="s">
        <v>28</v>
      </c>
      <c r="E11" s="7" t="s">
        <v>29</v>
      </c>
      <c r="F11" s="6" t="s">
        <v>30</v>
      </c>
      <c r="G11" s="7" t="s">
        <v>60</v>
      </c>
      <c r="H11" s="8" t="s">
        <v>32</v>
      </c>
      <c r="I11" s="8" t="s">
        <v>42</v>
      </c>
      <c r="J11" s="8" t="s">
        <v>43</v>
      </c>
      <c r="K11" s="9" t="s">
        <v>61</v>
      </c>
      <c r="L11" s="9" t="s">
        <v>62</v>
      </c>
      <c r="M11" s="10" t="s">
        <v>37</v>
      </c>
      <c r="N11" s="10" t="s">
        <v>38</v>
      </c>
      <c r="O11" s="8" t="s">
        <v>39</v>
      </c>
      <c r="P11" s="10" t="s">
        <v>40</v>
      </c>
      <c r="Q11" s="8" t="s">
        <v>32</v>
      </c>
    </row>
    <row r="12" ht="20" customHeight="1" spans="1:17" x14ac:dyDescent="0.25">
      <c r="A12" s="6">
        <v>7</v>
      </c>
      <c r="B12" s="6" t="s">
        <v>26</v>
      </c>
      <c r="C12" s="7" t="s">
        <v>27</v>
      </c>
      <c r="D12" s="7" t="s">
        <v>28</v>
      </c>
      <c r="E12" s="7" t="s">
        <v>29</v>
      </c>
      <c r="F12" s="6" t="s">
        <v>30</v>
      </c>
      <c r="G12" s="7" t="s">
        <v>63</v>
      </c>
      <c r="H12" s="8" t="s">
        <v>32</v>
      </c>
      <c r="I12" s="8" t="s">
        <v>47</v>
      </c>
      <c r="J12" s="8" t="s">
        <v>48</v>
      </c>
      <c r="K12" s="9" t="s">
        <v>64</v>
      </c>
      <c r="L12" s="9" t="s">
        <v>65</v>
      </c>
      <c r="M12" s="10" t="s">
        <v>37</v>
      </c>
      <c r="N12" s="10" t="s">
        <v>38</v>
      </c>
      <c r="O12" s="8" t="s">
        <v>39</v>
      </c>
      <c r="P12" s="10" t="s">
        <v>40</v>
      </c>
      <c r="Q12" s="8" t="s">
        <v>32</v>
      </c>
    </row>
    <row r="13" ht="20" customHeight="1" spans="1:17" x14ac:dyDescent="0.25">
      <c r="A13" s="6">
        <v>8</v>
      </c>
      <c r="B13" s="6" t="s">
        <v>26</v>
      </c>
      <c r="C13" s="7" t="s">
        <v>27</v>
      </c>
      <c r="D13" s="7" t="s">
        <v>28</v>
      </c>
      <c r="E13" s="7" t="s">
        <v>29</v>
      </c>
      <c r="F13" s="6" t="s">
        <v>30</v>
      </c>
      <c r="G13" s="7" t="s">
        <v>66</v>
      </c>
      <c r="H13" s="8" t="s">
        <v>32</v>
      </c>
      <c r="I13" s="8" t="s">
        <v>67</v>
      </c>
      <c r="J13" s="8" t="s">
        <v>68</v>
      </c>
      <c r="K13" s="9" t="s">
        <v>69</v>
      </c>
      <c r="L13" s="9" t="s">
        <v>36</v>
      </c>
      <c r="M13" s="10" t="s">
        <v>37</v>
      </c>
      <c r="N13" s="10" t="s">
        <v>38</v>
      </c>
      <c r="O13" s="8" t="s">
        <v>39</v>
      </c>
      <c r="P13" s="10" t="s">
        <v>40</v>
      </c>
      <c r="Q13" s="8" t="s">
        <v>32</v>
      </c>
    </row>
    <row r="14" ht="20" customHeight="1" spans="1:17" x14ac:dyDescent="0.25">
      <c r="A14" s="6">
        <v>9</v>
      </c>
      <c r="B14" s="6" t="s">
        <v>26</v>
      </c>
      <c r="C14" s="7" t="s">
        <v>27</v>
      </c>
      <c r="D14" s="7" t="s">
        <v>28</v>
      </c>
      <c r="E14" s="7" t="s">
        <v>29</v>
      </c>
      <c r="F14" s="6" t="s">
        <v>30</v>
      </c>
      <c r="G14" s="7" t="s">
        <v>70</v>
      </c>
      <c r="H14" s="8" t="s">
        <v>32</v>
      </c>
      <c r="I14" s="8" t="s">
        <v>71</v>
      </c>
      <c r="J14" s="8" t="s">
        <v>72</v>
      </c>
      <c r="K14" s="9" t="s">
        <v>73</v>
      </c>
      <c r="L14" s="9" t="s">
        <v>74</v>
      </c>
      <c r="M14" s="10" t="s">
        <v>37</v>
      </c>
      <c r="N14" s="10" t="s">
        <v>38</v>
      </c>
      <c r="O14" s="8" t="s">
        <v>39</v>
      </c>
      <c r="P14" s="10" t="s">
        <v>40</v>
      </c>
      <c r="Q14" s="8" t="s">
        <v>32</v>
      </c>
    </row>
    <row r="15" ht="20" customHeight="1" spans="1:17" x14ac:dyDescent="0.25">
      <c r="A15" s="6">
        <v>10</v>
      </c>
      <c r="B15" s="6" t="s">
        <v>26</v>
      </c>
      <c r="C15" s="7" t="s">
        <v>27</v>
      </c>
      <c r="D15" s="7" t="s">
        <v>28</v>
      </c>
      <c r="E15" s="7" t="s">
        <v>29</v>
      </c>
      <c r="F15" s="6" t="s">
        <v>75</v>
      </c>
      <c r="G15" s="7" t="s">
        <v>76</v>
      </c>
      <c r="H15" s="8" t="s">
        <v>32</v>
      </c>
      <c r="I15" s="8" t="s">
        <v>33</v>
      </c>
      <c r="J15" s="8" t="s">
        <v>77</v>
      </c>
      <c r="K15" s="9" t="s">
        <v>78</v>
      </c>
      <c r="L15" s="9" t="s">
        <v>36</v>
      </c>
      <c r="M15" s="10" t="s">
        <v>37</v>
      </c>
      <c r="N15" s="10" t="s">
        <v>38</v>
      </c>
      <c r="O15" s="8" t="s">
        <v>39</v>
      </c>
      <c r="P15" s="10" t="s">
        <v>40</v>
      </c>
      <c r="Q15" s="8" t="s">
        <v>32</v>
      </c>
    </row>
    <row r="16" ht="20" customHeight="1" spans="1:17" x14ac:dyDescent="0.25">
      <c r="A16" s="6">
        <v>11</v>
      </c>
      <c r="B16" s="6" t="s">
        <v>26</v>
      </c>
      <c r="C16" s="7" t="s">
        <v>27</v>
      </c>
      <c r="D16" s="7" t="s">
        <v>28</v>
      </c>
      <c r="E16" s="7" t="s">
        <v>29</v>
      </c>
      <c r="F16" s="6" t="s">
        <v>75</v>
      </c>
      <c r="G16" s="7" t="s">
        <v>79</v>
      </c>
      <c r="H16" s="8" t="s">
        <v>32</v>
      </c>
      <c r="I16" s="8" t="s">
        <v>42</v>
      </c>
      <c r="J16" s="8" t="s">
        <v>43</v>
      </c>
      <c r="K16" s="9" t="s">
        <v>80</v>
      </c>
      <c r="L16" s="9" t="s">
        <v>36</v>
      </c>
      <c r="M16" s="10" t="s">
        <v>37</v>
      </c>
      <c r="N16" s="10" t="s">
        <v>38</v>
      </c>
      <c r="O16" s="8" t="s">
        <v>39</v>
      </c>
      <c r="P16" s="10" t="s">
        <v>40</v>
      </c>
      <c r="Q16" s="8" t="s">
        <v>32</v>
      </c>
    </row>
    <row r="17" ht="20" customHeight="1" spans="1:17" x14ac:dyDescent="0.25">
      <c r="A17" s="6">
        <v>12</v>
      </c>
      <c r="B17" s="6" t="s">
        <v>26</v>
      </c>
      <c r="C17" s="7" t="s">
        <v>27</v>
      </c>
      <c r="D17" s="7" t="s">
        <v>28</v>
      </c>
      <c r="E17" s="7" t="s">
        <v>29</v>
      </c>
      <c r="F17" s="6" t="s">
        <v>75</v>
      </c>
      <c r="G17" s="7" t="s">
        <v>81</v>
      </c>
      <c r="H17" s="8" t="s">
        <v>32</v>
      </c>
      <c r="I17" s="8" t="s">
        <v>47</v>
      </c>
      <c r="J17" s="8" t="s">
        <v>82</v>
      </c>
      <c r="K17" s="9" t="s">
        <v>83</v>
      </c>
      <c r="L17" s="9" t="s">
        <v>36</v>
      </c>
      <c r="M17" s="10" t="s">
        <v>37</v>
      </c>
      <c r="N17" s="10" t="s">
        <v>38</v>
      </c>
      <c r="O17" s="8" t="s">
        <v>39</v>
      </c>
      <c r="P17" s="10" t="s">
        <v>40</v>
      </c>
      <c r="Q17" s="8" t="s">
        <v>32</v>
      </c>
    </row>
    <row r="18" ht="20" customHeight="1" spans="1:17" x14ac:dyDescent="0.25">
      <c r="A18" s="6">
        <v>13</v>
      </c>
      <c r="B18" s="6" t="s">
        <v>26</v>
      </c>
      <c r="C18" s="7" t="s">
        <v>27</v>
      </c>
      <c r="D18" s="7" t="s">
        <v>28</v>
      </c>
      <c r="E18" s="7" t="s">
        <v>29</v>
      </c>
      <c r="F18" s="6" t="s">
        <v>30</v>
      </c>
      <c r="G18" s="7" t="s">
        <v>84</v>
      </c>
      <c r="H18" s="8" t="s">
        <v>32</v>
      </c>
      <c r="I18" s="8" t="s">
        <v>42</v>
      </c>
      <c r="J18" s="8" t="s">
        <v>85</v>
      </c>
      <c r="K18" s="9" t="s">
        <v>86</v>
      </c>
      <c r="L18" s="9" t="s">
        <v>36</v>
      </c>
      <c r="M18" s="10" t="s">
        <v>87</v>
      </c>
      <c r="N18" s="10" t="s">
        <v>88</v>
      </c>
      <c r="O18" s="8" t="s">
        <v>39</v>
      </c>
      <c r="P18" s="10" t="s">
        <v>40</v>
      </c>
      <c r="Q18" s="8" t="s">
        <v>32</v>
      </c>
    </row>
    <row r="19" ht="20" customHeight="1" spans="1:17" x14ac:dyDescent="0.25">
      <c r="A19" s="6">
        <v>14</v>
      </c>
      <c r="B19" s="6" t="s">
        <v>26</v>
      </c>
      <c r="C19" s="7" t="s">
        <v>27</v>
      </c>
      <c r="D19" s="7" t="s">
        <v>28</v>
      </c>
      <c r="E19" s="7" t="s">
        <v>29</v>
      </c>
      <c r="F19" s="6" t="s">
        <v>30</v>
      </c>
      <c r="G19" s="7" t="s">
        <v>84</v>
      </c>
      <c r="H19" s="8" t="s">
        <v>32</v>
      </c>
      <c r="I19" s="8" t="s">
        <v>42</v>
      </c>
      <c r="J19" s="8" t="s">
        <v>85</v>
      </c>
      <c r="K19" s="9" t="s">
        <v>89</v>
      </c>
      <c r="L19" s="9" t="s">
        <v>36</v>
      </c>
      <c r="M19" s="10" t="s">
        <v>87</v>
      </c>
      <c r="N19" s="10" t="s">
        <v>88</v>
      </c>
      <c r="O19" s="8" t="s">
        <v>39</v>
      </c>
      <c r="P19" s="10" t="s">
        <v>40</v>
      </c>
      <c r="Q19" s="8" t="s">
        <v>32</v>
      </c>
    </row>
    <row r="20" ht="20" customHeight="1" spans="1:17" x14ac:dyDescent="0.25">
      <c r="A20" s="6">
        <v>15</v>
      </c>
      <c r="B20" s="6" t="s">
        <v>90</v>
      </c>
      <c r="C20" s="7" t="s">
        <v>27</v>
      </c>
      <c r="D20" s="7" t="s">
        <v>28</v>
      </c>
      <c r="E20" s="7" t="s">
        <v>91</v>
      </c>
      <c r="F20" s="6" t="s">
        <v>30</v>
      </c>
      <c r="G20" s="7" t="s">
        <v>31</v>
      </c>
      <c r="H20" s="8" t="s">
        <v>92</v>
      </c>
      <c r="I20" s="8" t="s">
        <v>57</v>
      </c>
      <c r="J20" s="8" t="s">
        <v>58</v>
      </c>
      <c r="K20" s="9" t="s">
        <v>93</v>
      </c>
      <c r="L20" s="9" t="s">
        <v>36</v>
      </c>
      <c r="M20" s="10" t="s">
        <v>37</v>
      </c>
      <c r="N20" s="10" t="s">
        <v>38</v>
      </c>
      <c r="O20" s="8" t="s">
        <v>39</v>
      </c>
      <c r="P20" s="10" t="s">
        <v>94</v>
      </c>
      <c r="Q20" s="8" t="s">
        <v>32</v>
      </c>
    </row>
    <row r="21" ht="20" customHeight="1" spans="1:17" x14ac:dyDescent="0.25">
      <c r="A21" s="6">
        <v>16</v>
      </c>
      <c r="B21" s="6" t="s">
        <v>90</v>
      </c>
      <c r="C21" s="7" t="s">
        <v>27</v>
      </c>
      <c r="D21" s="7" t="s">
        <v>28</v>
      </c>
      <c r="E21" s="7" t="s">
        <v>91</v>
      </c>
      <c r="F21" s="6" t="s">
        <v>30</v>
      </c>
      <c r="G21" s="7" t="s">
        <v>41</v>
      </c>
      <c r="H21" s="8" t="s">
        <v>32</v>
      </c>
      <c r="I21" s="8" t="s">
        <v>42</v>
      </c>
      <c r="J21" s="8" t="s">
        <v>43</v>
      </c>
      <c r="K21" s="9" t="s">
        <v>95</v>
      </c>
      <c r="L21" s="9" t="s">
        <v>96</v>
      </c>
      <c r="M21" s="10" t="s">
        <v>37</v>
      </c>
      <c r="N21" s="10" t="s">
        <v>38</v>
      </c>
      <c r="O21" s="8" t="s">
        <v>39</v>
      </c>
      <c r="P21" s="10" t="s">
        <v>94</v>
      </c>
      <c r="Q21" s="8" t="s">
        <v>32</v>
      </c>
    </row>
    <row r="22" ht="20" customHeight="1" spans="1:17" x14ac:dyDescent="0.25">
      <c r="A22" s="6">
        <v>17</v>
      </c>
      <c r="B22" s="6" t="s">
        <v>90</v>
      </c>
      <c r="C22" s="7" t="s">
        <v>27</v>
      </c>
      <c r="D22" s="7" t="s">
        <v>28</v>
      </c>
      <c r="E22" s="7" t="s">
        <v>91</v>
      </c>
      <c r="F22" s="6" t="s">
        <v>30</v>
      </c>
      <c r="G22" s="7" t="s">
        <v>46</v>
      </c>
      <c r="H22" s="8" t="s">
        <v>32</v>
      </c>
      <c r="I22" s="8" t="s">
        <v>97</v>
      </c>
      <c r="J22" s="8" t="s">
        <v>98</v>
      </c>
      <c r="K22" s="9" t="s">
        <v>99</v>
      </c>
      <c r="L22" s="9" t="s">
        <v>100</v>
      </c>
      <c r="M22" s="10" t="s">
        <v>37</v>
      </c>
      <c r="N22" s="10" t="s">
        <v>38</v>
      </c>
      <c r="O22" s="8" t="s">
        <v>39</v>
      </c>
      <c r="P22" s="10" t="s">
        <v>94</v>
      </c>
      <c r="Q22" s="8" t="s">
        <v>32</v>
      </c>
    </row>
    <row r="23" ht="20" customHeight="1" spans="1:17" x14ac:dyDescent="0.25">
      <c r="A23" s="6">
        <v>18</v>
      </c>
      <c r="B23" s="6" t="s">
        <v>90</v>
      </c>
      <c r="C23" s="7" t="s">
        <v>27</v>
      </c>
      <c r="D23" s="7" t="s">
        <v>28</v>
      </c>
      <c r="E23" s="7" t="s">
        <v>91</v>
      </c>
      <c r="F23" s="6" t="s">
        <v>30</v>
      </c>
      <c r="G23" s="7" t="s">
        <v>51</v>
      </c>
      <c r="H23" s="8" t="s">
        <v>32</v>
      </c>
      <c r="I23" s="8" t="s">
        <v>101</v>
      </c>
      <c r="J23" s="8" t="s">
        <v>102</v>
      </c>
      <c r="K23" s="9" t="s">
        <v>103</v>
      </c>
      <c r="L23" s="9" t="s">
        <v>104</v>
      </c>
      <c r="M23" s="10" t="s">
        <v>37</v>
      </c>
      <c r="N23" s="10" t="s">
        <v>38</v>
      </c>
      <c r="O23" s="8" t="s">
        <v>39</v>
      </c>
      <c r="P23" s="10" t="s">
        <v>94</v>
      </c>
      <c r="Q23" s="8" t="s">
        <v>32</v>
      </c>
    </row>
    <row r="24" ht="20" customHeight="1" spans="1:17" x14ac:dyDescent="0.25">
      <c r="A24" s="6">
        <v>19</v>
      </c>
      <c r="B24" s="6" t="s">
        <v>90</v>
      </c>
      <c r="C24" s="7" t="s">
        <v>27</v>
      </c>
      <c r="D24" s="7" t="s">
        <v>28</v>
      </c>
      <c r="E24" s="7" t="s">
        <v>91</v>
      </c>
      <c r="F24" s="6" t="s">
        <v>30</v>
      </c>
      <c r="G24" s="7" t="s">
        <v>105</v>
      </c>
      <c r="H24" s="8" t="s">
        <v>32</v>
      </c>
      <c r="I24" s="8" t="s">
        <v>106</v>
      </c>
      <c r="J24" s="8" t="s">
        <v>107</v>
      </c>
      <c r="K24" s="9" t="s">
        <v>108</v>
      </c>
      <c r="L24" s="9" t="s">
        <v>36</v>
      </c>
      <c r="M24" s="10" t="s">
        <v>37</v>
      </c>
      <c r="N24" s="10" t="s">
        <v>38</v>
      </c>
      <c r="O24" s="8" t="s">
        <v>39</v>
      </c>
      <c r="P24" s="10" t="s">
        <v>94</v>
      </c>
      <c r="Q24" s="8" t="s">
        <v>32</v>
      </c>
    </row>
    <row r="25" ht="20" customHeight="1" spans="1:17" x14ac:dyDescent="0.25">
      <c r="A25" s="6">
        <v>20</v>
      </c>
      <c r="B25" s="6" t="s">
        <v>90</v>
      </c>
      <c r="C25" s="7" t="s">
        <v>27</v>
      </c>
      <c r="D25" s="7" t="s">
        <v>28</v>
      </c>
      <c r="E25" s="7" t="s">
        <v>91</v>
      </c>
      <c r="F25" s="6" t="s">
        <v>30</v>
      </c>
      <c r="G25" s="7" t="s">
        <v>56</v>
      </c>
      <c r="H25" s="8" t="s">
        <v>109</v>
      </c>
      <c r="I25" s="8" t="s">
        <v>57</v>
      </c>
      <c r="J25" s="8" t="s">
        <v>58</v>
      </c>
      <c r="K25" s="9" t="s">
        <v>110</v>
      </c>
      <c r="L25" s="9" t="s">
        <v>36</v>
      </c>
      <c r="M25" s="10" t="s">
        <v>37</v>
      </c>
      <c r="N25" s="10" t="s">
        <v>38</v>
      </c>
      <c r="O25" s="8" t="s">
        <v>39</v>
      </c>
      <c r="P25" s="10" t="s">
        <v>94</v>
      </c>
      <c r="Q25" s="8" t="s">
        <v>32</v>
      </c>
    </row>
    <row r="26" ht="20" customHeight="1" spans="1:17" x14ac:dyDescent="0.25">
      <c r="A26" s="6">
        <v>21</v>
      </c>
      <c r="B26" s="6" t="s">
        <v>90</v>
      </c>
      <c r="C26" s="7" t="s">
        <v>27</v>
      </c>
      <c r="D26" s="7" t="s">
        <v>28</v>
      </c>
      <c r="E26" s="7" t="s">
        <v>91</v>
      </c>
      <c r="F26" s="6" t="s">
        <v>30</v>
      </c>
      <c r="G26" s="7" t="s">
        <v>111</v>
      </c>
      <c r="H26" s="8" t="s">
        <v>32</v>
      </c>
      <c r="I26" s="8" t="s">
        <v>112</v>
      </c>
      <c r="J26" s="8" t="s">
        <v>113</v>
      </c>
      <c r="K26" s="9" t="s">
        <v>114</v>
      </c>
      <c r="L26" s="9" t="s">
        <v>115</v>
      </c>
      <c r="M26" s="10" t="s">
        <v>37</v>
      </c>
      <c r="N26" s="10" t="s">
        <v>38</v>
      </c>
      <c r="O26" s="8" t="s">
        <v>39</v>
      </c>
      <c r="P26" s="10" t="s">
        <v>94</v>
      </c>
      <c r="Q26" s="8" t="s">
        <v>32</v>
      </c>
    </row>
    <row r="27" ht="20" customHeight="1" spans="1:17" x14ac:dyDescent="0.25">
      <c r="A27" s="6">
        <v>22</v>
      </c>
      <c r="B27" s="6" t="s">
        <v>90</v>
      </c>
      <c r="C27" s="7" t="s">
        <v>27</v>
      </c>
      <c r="D27" s="7" t="s">
        <v>28</v>
      </c>
      <c r="E27" s="7" t="s">
        <v>91</v>
      </c>
      <c r="F27" s="6" t="s">
        <v>30</v>
      </c>
      <c r="G27" s="7" t="s">
        <v>60</v>
      </c>
      <c r="H27" s="8" t="s">
        <v>32</v>
      </c>
      <c r="I27" s="8" t="s">
        <v>42</v>
      </c>
      <c r="J27" s="8" t="s">
        <v>43</v>
      </c>
      <c r="K27" s="9" t="s">
        <v>116</v>
      </c>
      <c r="L27" s="9" t="s">
        <v>117</v>
      </c>
      <c r="M27" s="10" t="s">
        <v>37</v>
      </c>
      <c r="N27" s="10" t="s">
        <v>38</v>
      </c>
      <c r="O27" s="8" t="s">
        <v>39</v>
      </c>
      <c r="P27" s="10" t="s">
        <v>94</v>
      </c>
      <c r="Q27" s="8" t="s">
        <v>32</v>
      </c>
    </row>
    <row r="28" ht="20" customHeight="1" spans="1:17" x14ac:dyDescent="0.25">
      <c r="A28" s="6">
        <v>23</v>
      </c>
      <c r="B28" s="6" t="s">
        <v>90</v>
      </c>
      <c r="C28" s="7" t="s">
        <v>27</v>
      </c>
      <c r="D28" s="7" t="s">
        <v>28</v>
      </c>
      <c r="E28" s="7" t="s">
        <v>91</v>
      </c>
      <c r="F28" s="6" t="s">
        <v>30</v>
      </c>
      <c r="G28" s="7" t="s">
        <v>63</v>
      </c>
      <c r="H28" s="8" t="s">
        <v>32</v>
      </c>
      <c r="I28" s="8" t="s">
        <v>47</v>
      </c>
      <c r="J28" s="8" t="s">
        <v>98</v>
      </c>
      <c r="K28" s="9" t="s">
        <v>118</v>
      </c>
      <c r="L28" s="9" t="s">
        <v>119</v>
      </c>
      <c r="M28" s="10" t="s">
        <v>37</v>
      </c>
      <c r="N28" s="10" t="s">
        <v>38</v>
      </c>
      <c r="O28" s="8" t="s">
        <v>39</v>
      </c>
      <c r="P28" s="10" t="s">
        <v>94</v>
      </c>
      <c r="Q28" s="8" t="s">
        <v>32</v>
      </c>
    </row>
    <row r="29" ht="20" customHeight="1" spans="1:17" x14ac:dyDescent="0.25">
      <c r="A29" s="6">
        <v>24</v>
      </c>
      <c r="B29" s="6" t="s">
        <v>90</v>
      </c>
      <c r="C29" s="7" t="s">
        <v>27</v>
      </c>
      <c r="D29" s="7" t="s">
        <v>28</v>
      </c>
      <c r="E29" s="7" t="s">
        <v>91</v>
      </c>
      <c r="F29" s="6" t="s">
        <v>30</v>
      </c>
      <c r="G29" s="7" t="s">
        <v>66</v>
      </c>
      <c r="H29" s="8" t="s">
        <v>32</v>
      </c>
      <c r="I29" s="8" t="s">
        <v>101</v>
      </c>
      <c r="J29" s="8" t="s">
        <v>102</v>
      </c>
      <c r="K29" s="9" t="s">
        <v>120</v>
      </c>
      <c r="L29" s="9" t="s">
        <v>121</v>
      </c>
      <c r="M29" s="10" t="s">
        <v>37</v>
      </c>
      <c r="N29" s="10" t="s">
        <v>38</v>
      </c>
      <c r="O29" s="8" t="s">
        <v>39</v>
      </c>
      <c r="P29" s="10" t="s">
        <v>94</v>
      </c>
      <c r="Q29" s="8" t="s">
        <v>32</v>
      </c>
    </row>
    <row r="30" ht="20" customHeight="1" spans="1:17" x14ac:dyDescent="0.25">
      <c r="A30" s="6">
        <v>25</v>
      </c>
      <c r="B30" s="6" t="s">
        <v>90</v>
      </c>
      <c r="C30" s="7" t="s">
        <v>27</v>
      </c>
      <c r="D30" s="7" t="s">
        <v>28</v>
      </c>
      <c r="E30" s="7" t="s">
        <v>91</v>
      </c>
      <c r="F30" s="6" t="s">
        <v>30</v>
      </c>
      <c r="G30" s="7" t="s">
        <v>122</v>
      </c>
      <c r="H30" s="8" t="s">
        <v>32</v>
      </c>
      <c r="I30" s="8" t="s">
        <v>123</v>
      </c>
      <c r="J30" s="8" t="s">
        <v>124</v>
      </c>
      <c r="K30" s="9" t="s">
        <v>125</v>
      </c>
      <c r="L30" s="9" t="s">
        <v>36</v>
      </c>
      <c r="M30" s="10" t="s">
        <v>87</v>
      </c>
      <c r="N30" s="10" t="s">
        <v>88</v>
      </c>
      <c r="O30" s="8" t="s">
        <v>39</v>
      </c>
      <c r="P30" s="10" t="s">
        <v>94</v>
      </c>
      <c r="Q30" s="8" t="s">
        <v>32</v>
      </c>
    </row>
    <row r="31" ht="20" customHeight="1" spans="1:17" x14ac:dyDescent="0.25">
      <c r="A31" s="6">
        <v>26</v>
      </c>
      <c r="B31" s="6" t="s">
        <v>90</v>
      </c>
      <c r="C31" s="7" t="s">
        <v>27</v>
      </c>
      <c r="D31" s="7" t="s">
        <v>28</v>
      </c>
      <c r="E31" s="7" t="s">
        <v>91</v>
      </c>
      <c r="F31" s="6" t="s">
        <v>30</v>
      </c>
      <c r="G31" s="7" t="s">
        <v>126</v>
      </c>
      <c r="H31" s="8" t="s">
        <v>32</v>
      </c>
      <c r="I31" s="8" t="s">
        <v>127</v>
      </c>
      <c r="J31" s="8" t="s">
        <v>128</v>
      </c>
      <c r="K31" s="9" t="s">
        <v>129</v>
      </c>
      <c r="L31" s="9" t="s">
        <v>130</v>
      </c>
      <c r="M31" s="10" t="s">
        <v>37</v>
      </c>
      <c r="N31" s="10" t="s">
        <v>38</v>
      </c>
      <c r="O31" s="8" t="s">
        <v>39</v>
      </c>
      <c r="P31" s="10" t="s">
        <v>94</v>
      </c>
      <c r="Q31" s="8" t="s">
        <v>32</v>
      </c>
    </row>
    <row r="32" ht="20" customHeight="1" spans="1:17" x14ac:dyDescent="0.25">
      <c r="A32" s="6">
        <v>27</v>
      </c>
      <c r="B32" s="6" t="s">
        <v>90</v>
      </c>
      <c r="C32" s="7" t="s">
        <v>27</v>
      </c>
      <c r="D32" s="7" t="s">
        <v>28</v>
      </c>
      <c r="E32" s="7" t="s">
        <v>91</v>
      </c>
      <c r="F32" s="6" t="s">
        <v>30</v>
      </c>
      <c r="G32" s="7" t="s">
        <v>84</v>
      </c>
      <c r="H32" s="8" t="s">
        <v>32</v>
      </c>
      <c r="I32" s="8" t="s">
        <v>42</v>
      </c>
      <c r="J32" s="8" t="s">
        <v>85</v>
      </c>
      <c r="K32" s="9" t="s">
        <v>131</v>
      </c>
      <c r="L32" s="9" t="s">
        <v>36</v>
      </c>
      <c r="M32" s="10" t="s">
        <v>87</v>
      </c>
      <c r="N32" s="10" t="s">
        <v>88</v>
      </c>
      <c r="O32" s="8" t="s">
        <v>39</v>
      </c>
      <c r="P32" s="10" t="s">
        <v>94</v>
      </c>
      <c r="Q32" s="8" t="s">
        <v>32</v>
      </c>
    </row>
    <row r="33" ht="20" customHeight="1" spans="1:17" x14ac:dyDescent="0.25">
      <c r="A33" s="6">
        <v>28</v>
      </c>
      <c r="B33" s="6" t="s">
        <v>90</v>
      </c>
      <c r="C33" s="7" t="s">
        <v>27</v>
      </c>
      <c r="D33" s="7" t="s">
        <v>28</v>
      </c>
      <c r="E33" s="7" t="s">
        <v>91</v>
      </c>
      <c r="F33" s="6" t="s">
        <v>30</v>
      </c>
      <c r="G33" s="7" t="s">
        <v>105</v>
      </c>
      <c r="H33" s="8" t="s">
        <v>32</v>
      </c>
      <c r="I33" s="8" t="s">
        <v>123</v>
      </c>
      <c r="J33" s="8" t="s">
        <v>124</v>
      </c>
      <c r="K33" s="9" t="s">
        <v>132</v>
      </c>
      <c r="L33" s="9" t="s">
        <v>36</v>
      </c>
      <c r="M33" s="10" t="s">
        <v>87</v>
      </c>
      <c r="N33" s="10" t="s">
        <v>88</v>
      </c>
      <c r="O33" s="8" t="s">
        <v>39</v>
      </c>
      <c r="P33" s="10" t="s">
        <v>94</v>
      </c>
      <c r="Q33" s="8" t="s">
        <v>32</v>
      </c>
    </row>
  </sheetData>
  <mergeCells count="2">
    <mergeCell ref="A1:Q1"/>
    <mergeCell ref="B4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/>
  </sheetViews>
  <sheetFormatPr defaultRowHeight="15" outlineLevelRow="0" outlineLevelCol="0" x14ac:dyDescent="55"/>
  <cols>
    <col min="1" max="1" width="7" customWidth="1"/>
    <col min="2" max="2" width="14" customWidth="1"/>
    <col min="3" max="4" width="16" customWidth="1"/>
    <col min="5" max="5" width="45" customWidth="1"/>
    <col min="6" max="7" width="18" customWidth="1"/>
    <col min="8" max="10" width="20" customWidth="1"/>
    <col min="11" max="11" width="18" customWidth="1"/>
    <col min="12" max="12" width="22" customWidth="1"/>
    <col min="13" max="13" width="16" customWidth="1"/>
    <col min="14" max="14" width="24" customWidth="1"/>
    <col min="15" max="15" width="32" customWidth="1"/>
  </cols>
  <sheetData>
    <row r="1" ht="32" customHeight="1" spans="1:15" x14ac:dyDescent="0.25">
      <c r="A1" s="1" t="s">
        <v>133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3" ht="24" customHeight="1" spans="2:15" x14ac:dyDescent="0.25">
      <c r="B3" s="2" t="s">
        <v>1</v>
      </c>
      <c r="C3" s="3">
        <f>SUMPRODUCT((B7:B14&lt;&gt;"")/COUNTIF(B7:B14,B7:B14&amp;""))</f>
      </c>
      <c r="D3" s="2" t="s">
        <v>2</v>
      </c>
      <c r="E3" s="3">
        <f>COUNTA(F7:F14)</f>
      </c>
      <c r="F3" s="2" t="s">
        <v>5</v>
      </c>
      <c r="G3" s="3">
        <f>COUNTIF(M7:M14,"OPERATIVO")</f>
      </c>
      <c r="H3" s="2" t="s">
        <v>134</v>
      </c>
      <c r="I3" s="3">
        <f>COUNTIF(M7:M14,"INOPERATIVO")</f>
      </c>
      <c r="J3" s="2" t="s">
        <v>7</v>
      </c>
      <c r="K3" s="3">
        <f>COUNTA(F7:F14)-COUNTA(M7:M14)</f>
      </c>
      <c r="L3" s="2" t="s">
        <v>3</v>
      </c>
      <c r="M3" s="3">
        <f>COUNTA(I7:I14)</f>
      </c>
      <c r="N3" s="2" t="s">
        <v>135</v>
      </c>
      <c r="O3" s="3">
        <f>COUNTA(L7:L14)</f>
      </c>
    </row>
    <row r="4" ht="22" customHeight="1" spans="1:9" x14ac:dyDescent="0.25">
      <c r="A4" s="11" t="s">
        <v>136</v>
      </c>
      <c r="B4" s="12" t="s">
        <v>137</v>
      </c>
      <c r="C4" s="13">
        <f>COUNTIF(G7:G14,"SUNMI")</f>
      </c>
      <c r="D4" s="12" t="s">
        <v>138</v>
      </c>
      <c r="E4" s="13">
        <f>COUNTIF(G7:G14,"SHIJI")</f>
      </c>
      <c r="F4" s="12" t="s">
        <v>139</v>
      </c>
      <c r="G4" s="13">
        <f>COUNTIF(G7:G14,"HONEYWELL")</f>
      </c>
      <c r="H4" s="12" t="s">
        <v>140</v>
      </c>
      <c r="I4" s="13">
        <f>COUNTIF(G7:G14,"UNITECH")</f>
      </c>
    </row>
    <row r="5" ht="20" customHeight="1" spans="2:15" x14ac:dyDescent="0.25">
      <c r="B5" s="4" t="s">
        <v>141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ht="28" customHeight="1" spans="1:15" x14ac:dyDescent="0.25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15</v>
      </c>
      <c r="G6" s="5" t="s">
        <v>17</v>
      </c>
      <c r="H6" s="5" t="s">
        <v>18</v>
      </c>
      <c r="I6" s="5" t="s">
        <v>19</v>
      </c>
      <c r="J6" s="5" t="s">
        <v>20</v>
      </c>
      <c r="K6" s="5" t="s">
        <v>142</v>
      </c>
      <c r="L6" s="5" t="s">
        <v>143</v>
      </c>
      <c r="M6" s="5" t="s">
        <v>21</v>
      </c>
      <c r="N6" s="5" t="s">
        <v>23</v>
      </c>
      <c r="O6" s="5" t="s">
        <v>144</v>
      </c>
    </row>
    <row r="7" ht="20" customHeight="1" spans="1:15" x14ac:dyDescent="0.25">
      <c r="A7" s="6">
        <v>1</v>
      </c>
      <c r="B7" s="6" t="s">
        <v>26</v>
      </c>
      <c r="C7" s="7" t="s">
        <v>27</v>
      </c>
      <c r="D7" s="7" t="s">
        <v>28</v>
      </c>
      <c r="E7" s="7" t="s">
        <v>29</v>
      </c>
      <c r="F7" s="7" t="s">
        <v>145</v>
      </c>
      <c r="G7" s="8" t="s">
        <v>137</v>
      </c>
      <c r="H7" s="8" t="s">
        <v>146</v>
      </c>
      <c r="I7" s="9" t="s">
        <v>147</v>
      </c>
      <c r="J7" s="9" t="s">
        <v>36</v>
      </c>
      <c r="K7" s="14" t="s">
        <v>32</v>
      </c>
      <c r="L7" s="14" t="s">
        <v>148</v>
      </c>
      <c r="M7" s="10" t="s">
        <v>22</v>
      </c>
      <c r="N7" s="8" t="s">
        <v>39</v>
      </c>
      <c r="O7" s="8" t="s">
        <v>32</v>
      </c>
    </row>
    <row r="8" ht="20" customHeight="1" spans="1:15" x14ac:dyDescent="0.25">
      <c r="A8" s="6">
        <v>2</v>
      </c>
      <c r="B8" s="6" t="s">
        <v>26</v>
      </c>
      <c r="C8" s="7" t="s">
        <v>27</v>
      </c>
      <c r="D8" s="7" t="s">
        <v>28</v>
      </c>
      <c r="E8" s="7" t="s">
        <v>29</v>
      </c>
      <c r="F8" s="7" t="s">
        <v>149</v>
      </c>
      <c r="G8" s="8" t="s">
        <v>137</v>
      </c>
      <c r="H8" s="8" t="s">
        <v>146</v>
      </c>
      <c r="I8" s="9" t="s">
        <v>150</v>
      </c>
      <c r="J8" s="9" t="s">
        <v>36</v>
      </c>
      <c r="K8" s="14" t="s">
        <v>32</v>
      </c>
      <c r="L8" s="14" t="s">
        <v>151</v>
      </c>
      <c r="M8" s="10" t="s">
        <v>22</v>
      </c>
      <c r="N8" s="8" t="s">
        <v>39</v>
      </c>
      <c r="O8" s="8" t="s">
        <v>32</v>
      </c>
    </row>
    <row r="9" ht="20" customHeight="1" spans="1:15" x14ac:dyDescent="0.25">
      <c r="A9" s="6">
        <v>3</v>
      </c>
      <c r="B9" s="6" t="s">
        <v>26</v>
      </c>
      <c r="C9" s="7" t="s">
        <v>27</v>
      </c>
      <c r="D9" s="7" t="s">
        <v>28</v>
      </c>
      <c r="E9" s="7" t="s">
        <v>29</v>
      </c>
      <c r="F9" s="7" t="s">
        <v>152</v>
      </c>
      <c r="G9" s="8" t="s">
        <v>137</v>
      </c>
      <c r="H9" s="8" t="s">
        <v>146</v>
      </c>
      <c r="I9" s="9" t="s">
        <v>153</v>
      </c>
      <c r="J9" s="9" t="s">
        <v>36</v>
      </c>
      <c r="K9" s="14" t="s">
        <v>32</v>
      </c>
      <c r="L9" s="14" t="s">
        <v>154</v>
      </c>
      <c r="M9" s="10" t="s">
        <v>22</v>
      </c>
      <c r="N9" s="8" t="s">
        <v>39</v>
      </c>
      <c r="O9" s="8" t="s">
        <v>32</v>
      </c>
    </row>
    <row r="10" ht="20" customHeight="1" spans="1:15" x14ac:dyDescent="0.25">
      <c r="A10" s="6">
        <v>4</v>
      </c>
      <c r="B10" s="6" t="s">
        <v>26</v>
      </c>
      <c r="C10" s="7" t="s">
        <v>27</v>
      </c>
      <c r="D10" s="7" t="s">
        <v>28</v>
      </c>
      <c r="E10" s="7" t="s">
        <v>29</v>
      </c>
      <c r="F10" s="7" t="s">
        <v>155</v>
      </c>
      <c r="G10" s="8" t="s">
        <v>137</v>
      </c>
      <c r="H10" s="8" t="s">
        <v>146</v>
      </c>
      <c r="I10" s="9" t="s">
        <v>156</v>
      </c>
      <c r="J10" s="9" t="s">
        <v>36</v>
      </c>
      <c r="K10" s="14" t="s">
        <v>32</v>
      </c>
      <c r="L10" s="14" t="s">
        <v>157</v>
      </c>
      <c r="M10" s="10" t="s">
        <v>22</v>
      </c>
      <c r="N10" s="8" t="s">
        <v>39</v>
      </c>
      <c r="O10" s="8" t="s">
        <v>32</v>
      </c>
    </row>
    <row r="11" ht="20" customHeight="1" spans="1:15" x14ac:dyDescent="0.25">
      <c r="A11" s="6">
        <v>5</v>
      </c>
      <c r="B11" s="6" t="s">
        <v>90</v>
      </c>
      <c r="C11" s="7" t="s">
        <v>27</v>
      </c>
      <c r="D11" s="7" t="s">
        <v>28</v>
      </c>
      <c r="E11" s="7" t="s">
        <v>91</v>
      </c>
      <c r="F11" s="7" t="s">
        <v>145</v>
      </c>
      <c r="G11" s="8" t="s">
        <v>137</v>
      </c>
      <c r="H11" s="8" t="s">
        <v>146</v>
      </c>
      <c r="I11" s="9" t="s">
        <v>158</v>
      </c>
      <c r="J11" s="9" t="s">
        <v>36</v>
      </c>
      <c r="K11" s="14" t="s">
        <v>32</v>
      </c>
      <c r="L11" s="14" t="s">
        <v>159</v>
      </c>
      <c r="M11" s="10" t="s">
        <v>22</v>
      </c>
      <c r="N11" s="8" t="s">
        <v>39</v>
      </c>
      <c r="O11" s="8" t="s">
        <v>32</v>
      </c>
    </row>
    <row r="12" ht="20" customHeight="1" spans="1:15" x14ac:dyDescent="0.25">
      <c r="A12" s="6">
        <v>6</v>
      </c>
      <c r="B12" s="6" t="s">
        <v>90</v>
      </c>
      <c r="C12" s="7" t="s">
        <v>27</v>
      </c>
      <c r="D12" s="7" t="s">
        <v>28</v>
      </c>
      <c r="E12" s="7" t="s">
        <v>91</v>
      </c>
      <c r="F12" s="7" t="s">
        <v>149</v>
      </c>
      <c r="G12" s="8" t="s">
        <v>137</v>
      </c>
      <c r="H12" s="8" t="s">
        <v>146</v>
      </c>
      <c r="I12" s="9" t="s">
        <v>160</v>
      </c>
      <c r="J12" s="9" t="s">
        <v>36</v>
      </c>
      <c r="K12" s="14" t="s">
        <v>32</v>
      </c>
      <c r="L12" s="14" t="s">
        <v>161</v>
      </c>
      <c r="M12" s="10" t="s">
        <v>22</v>
      </c>
      <c r="N12" s="8" t="s">
        <v>39</v>
      </c>
      <c r="O12" s="8" t="s">
        <v>32</v>
      </c>
    </row>
    <row r="13" ht="20" customHeight="1" spans="1:15" x14ac:dyDescent="0.25">
      <c r="A13" s="6">
        <v>7</v>
      </c>
      <c r="B13" s="6" t="s">
        <v>90</v>
      </c>
      <c r="C13" s="7" t="s">
        <v>27</v>
      </c>
      <c r="D13" s="7" t="s">
        <v>28</v>
      </c>
      <c r="E13" s="7" t="s">
        <v>91</v>
      </c>
      <c r="F13" s="7" t="s">
        <v>152</v>
      </c>
      <c r="G13" s="8" t="s">
        <v>137</v>
      </c>
      <c r="H13" s="8" t="s">
        <v>146</v>
      </c>
      <c r="I13" s="9" t="s">
        <v>162</v>
      </c>
      <c r="J13" s="9" t="s">
        <v>36</v>
      </c>
      <c r="K13" s="14" t="s">
        <v>32</v>
      </c>
      <c r="L13" s="14" t="s">
        <v>163</v>
      </c>
      <c r="M13" s="10" t="s">
        <v>22</v>
      </c>
      <c r="N13" s="8" t="s">
        <v>39</v>
      </c>
      <c r="O13" s="8" t="s">
        <v>32</v>
      </c>
    </row>
    <row r="14" ht="20" customHeight="1" spans="1:15" x14ac:dyDescent="0.25">
      <c r="A14" s="6">
        <v>8</v>
      </c>
      <c r="B14" s="6" t="s">
        <v>90</v>
      </c>
      <c r="C14" s="7" t="s">
        <v>27</v>
      </c>
      <c r="D14" s="7" t="s">
        <v>28</v>
      </c>
      <c r="E14" s="7" t="s">
        <v>91</v>
      </c>
      <c r="F14" s="7" t="s">
        <v>145</v>
      </c>
      <c r="G14" s="8" t="s">
        <v>139</v>
      </c>
      <c r="H14" s="8" t="s">
        <v>164</v>
      </c>
      <c r="I14" s="9" t="s">
        <v>165</v>
      </c>
      <c r="J14" s="9" t="s">
        <v>166</v>
      </c>
      <c r="K14" s="14" t="s">
        <v>32</v>
      </c>
      <c r="L14" s="14" t="s">
        <v>32</v>
      </c>
      <c r="M14" s="10" t="s">
        <v>22</v>
      </c>
      <c r="N14" s="8" t="s">
        <v>39</v>
      </c>
      <c r="O14" s="8" t="s">
        <v>32</v>
      </c>
    </row>
  </sheetData>
  <mergeCells count="2">
    <mergeCell ref="A1:O1"/>
    <mergeCell ref="B5:O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"/>
  <sheetViews>
    <sheetView workbookViewId="0"/>
  </sheetViews>
  <sheetFormatPr defaultRowHeight="15" outlineLevelRow="0" outlineLevelCol="0" x14ac:dyDescent="55"/>
  <cols>
    <col min="1" max="1" width="5" customWidth="1"/>
    <col min="2" max="2" width="16" customWidth="1"/>
    <col min="3" max="3" width="14" customWidth="1"/>
    <col min="4" max="5" width="16" customWidth="1"/>
    <col min="6" max="6" width="45" customWidth="1"/>
    <col min="7" max="8" width="18" customWidth="1"/>
    <col min="9" max="12" width="14" customWidth="1"/>
    <col min="13" max="13" width="16" customWidth="1"/>
    <col min="14" max="14" width="12" customWidth="1"/>
    <col min="15" max="15" width="5" customWidth="1"/>
    <col min="16" max="17" width="18" customWidth="1"/>
  </cols>
  <sheetData>
    <row r="1" ht="28" customHeight="1" spans="2:17" x14ac:dyDescent="0.25">
      <c r="B1" s="15" t="s">
        <v>11</v>
      </c>
      <c r="C1" s="15" t="s">
        <v>9</v>
      </c>
      <c r="D1" s="15" t="s">
        <v>167</v>
      </c>
      <c r="E1" s="15" t="s">
        <v>168</v>
      </c>
      <c r="F1" s="15" t="s">
        <v>13</v>
      </c>
      <c r="G1" s="15" t="s">
        <v>169</v>
      </c>
      <c r="H1" s="15" t="s">
        <v>170</v>
      </c>
      <c r="I1" s="15" t="s">
        <v>171</v>
      </c>
      <c r="J1" s="15" t="s">
        <v>172</v>
      </c>
      <c r="K1" s="15" t="s">
        <v>173</v>
      </c>
      <c r="L1" s="15" t="s">
        <v>174</v>
      </c>
      <c r="M1" s="15" t="s">
        <v>175</v>
      </c>
      <c r="N1" s="15" t="s">
        <v>176</v>
      </c>
      <c r="P1" s="15" t="s">
        <v>177</v>
      </c>
      <c r="Q1" s="15" t="s">
        <v>178</v>
      </c>
    </row>
    <row r="2" ht="20" customHeight="1" spans="2:17" x14ac:dyDescent="0.25">
      <c r="B2" s="16" t="s">
        <v>27</v>
      </c>
      <c r="C2" s="17" t="s">
        <v>26</v>
      </c>
      <c r="D2" s="16" t="s">
        <v>179</v>
      </c>
      <c r="E2" s="16" t="s">
        <v>28</v>
      </c>
      <c r="F2" s="16" t="s">
        <v>29</v>
      </c>
      <c r="G2" s="17">
        <v>1</v>
      </c>
      <c r="H2" s="17">
        <v>1</v>
      </c>
      <c r="I2" s="17">
        <v>1</v>
      </c>
      <c r="J2" s="17">
        <f>I2</f>
      </c>
      <c r="K2" s="17">
        <f>I2</f>
      </c>
      <c r="L2" s="17">
        <f>I2</f>
      </c>
      <c r="M2" s="17" t="s">
        <v>180</v>
      </c>
      <c r="N2" s="17" t="s">
        <v>181</v>
      </c>
      <c r="P2" s="17">
        <v>0</v>
      </c>
      <c r="Q2" s="17">
        <f>H2+P2</f>
      </c>
    </row>
    <row r="3" ht="20" customHeight="1" spans="2:17" x14ac:dyDescent="0.25">
      <c r="B3" s="16" t="s">
        <v>27</v>
      </c>
      <c r="C3" s="17" t="s">
        <v>90</v>
      </c>
      <c r="D3" s="16" t="s">
        <v>182</v>
      </c>
      <c r="E3" s="16" t="s">
        <v>28</v>
      </c>
      <c r="F3" s="16" t="s">
        <v>91</v>
      </c>
      <c r="G3" s="17">
        <v>1</v>
      </c>
      <c r="H3" s="17">
        <v>1</v>
      </c>
      <c r="I3" s="17">
        <v>1</v>
      </c>
      <c r="J3" s="17">
        <f>I3</f>
      </c>
      <c r="K3" s="17">
        <f>I3</f>
      </c>
      <c r="L3" s="17">
        <f>I3</f>
      </c>
      <c r="M3" s="17" t="s">
        <v>180</v>
      </c>
      <c r="N3" s="17" t="s">
        <v>181</v>
      </c>
      <c r="P3" s="17">
        <v>0</v>
      </c>
      <c r="Q3" s="17">
        <f>H3+P3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Inventario POS</vt:lpstr>
      <vt:lpstr>Inventario PDA</vt:lpstr>
      <vt:lpstr>PDA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JSERVICE RV</dc:creator>
  <dc:title/>
  <dc:subject/>
  <dc:description/>
  <cp:keywords/>
  <cp:category/>
  <cp:lastModifiedBy>JSERVICE RV</cp:lastModifiedBy>
  <dcterms:created xsi:type="dcterms:W3CDTF">2026-10-03T23:42:59Z</dcterms:created>
  <dcterms:modified xsi:type="dcterms:W3CDTF">2026-10-03T23:42:59Z</dcterms:modified>
</cp:coreProperties>
</file>