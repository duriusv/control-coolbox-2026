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POS" state="visible" r:id="rId4"/>
    <sheet sheetId="2" name="Inventario PDA" state="visible" r:id="rId5"/>
    <sheet sheetId="3" name="PDA" state="visible" r:id="rId6"/>
  </sheets>
  <calcPr calcId="171027"/>
</workbook>
</file>

<file path=xl/sharedStrings.xml><?xml version="1.0" encoding="utf-8"?>
<sst xmlns="http://schemas.openxmlformats.org/spreadsheetml/2006/main" count="187" uniqueCount="96">
  <si>
    <t>INVENTARIO DE EQUIPOS – POS EN PRODUCCIÓN (1 TIENDAS REALIZADAS)</t>
  </si>
  <si>
    <t>Tiendas</t>
  </si>
  <si>
    <t>Equipos</t>
  </si>
  <si>
    <t>Con serie</t>
  </si>
  <si>
    <t>Con cód. inventario</t>
  </si>
  <si>
    <t>Operativos</t>
  </si>
  <si>
    <t>No operativos</t>
  </si>
  <si>
    <t>Pendientes</t>
  </si>
  <si>
    <t>Llenar solo las celdas crema (MARCA a OBSERVACIONES). Usar los filtros de la fila de títulos para buscar por tienda, ciudad, zona o equipo. Ej.: Epson | TM-T20III | X5E1234567 | INV-000123</t>
  </si>
  <si>
    <t>N°</t>
  </si>
  <si>
    <t>COD TIENDA</t>
  </si>
  <si>
    <t>CIUDAD</t>
  </si>
  <si>
    <t>ZONA</t>
  </si>
  <si>
    <t>DIRECCION</t>
  </si>
  <si>
    <t>INVENTARIO</t>
  </si>
  <si>
    <t>EQUIPO</t>
  </si>
  <si>
    <t>HOSTNAME</t>
  </si>
  <si>
    <t>MARCA</t>
  </si>
  <si>
    <t>MODELO</t>
  </si>
  <si>
    <t>SERIE</t>
  </si>
  <si>
    <t>COD INVENTARIO</t>
  </si>
  <si>
    <t>ESTADO</t>
  </si>
  <si>
    <t>OPERATIVO</t>
  </si>
  <si>
    <t>RESPONSABLE</t>
  </si>
  <si>
    <t>FECHA</t>
  </si>
  <si>
    <t>OBSERVACIONES</t>
  </si>
  <si>
    <t>B11</t>
  </si>
  <si>
    <t>LIMA</t>
  </si>
  <si>
    <t>AV. NICOLAS AYLLON 8694 INT 124 - LC.124-125-126 C.C. REAL.PLAZA. SANTA CLARA - ATE</t>
  </si>
  <si>
    <t>POS EN PRODUCCIÓN</t>
  </si>
  <si>
    <t>CPU POS / ALL IN ONE</t>
  </si>
  <si>
    <t>RASHPERU POS 1</t>
  </si>
  <si>
    <t>LENOVO</t>
  </si>
  <si>
    <t>THINKPAD</t>
  </si>
  <si>
    <t>QAZ2345EDC</t>
  </si>
  <si>
    <t>12345678Z</t>
  </si>
  <si>
    <t>Bueno</t>
  </si>
  <si>
    <t>Sí</t>
  </si>
  <si>
    <t>DIEGO ALEJANDRO RODRÍGUEZ MARTÍNEZ</t>
  </si>
  <si>
    <t>26/09/2026, 14:25 hrs</t>
  </si>
  <si>
    <t/>
  </si>
  <si>
    <t>MONITOR POS / PANTALLA TÁCTIL</t>
  </si>
  <si>
    <t>LG</t>
  </si>
  <si>
    <t>TV50FHD</t>
  </si>
  <si>
    <t>QWE23456FDS</t>
  </si>
  <si>
    <t>12345678M</t>
  </si>
  <si>
    <t>IMPRESORA LÁSER / TINTA</t>
  </si>
  <si>
    <t>HP</t>
  </si>
  <si>
    <t>SMARTANK140W</t>
  </si>
  <si>
    <t>POI9876JKL</t>
  </si>
  <si>
    <t>12345678G</t>
  </si>
  <si>
    <t>IMPRESORA INALÁMBRICA DE RECIBOS</t>
  </si>
  <si>
    <t>EPON</t>
  </si>
  <si>
    <t>TM-T20III</t>
  </si>
  <si>
    <t>VBH56789JHN</t>
  </si>
  <si>
    <t>ALLTOUCH</t>
  </si>
  <si>
    <t>HDA45678RFD</t>
  </si>
  <si>
    <t>12345678S</t>
  </si>
  <si>
    <t>LECTOR DE CÓDIGO DE BARRAS</t>
  </si>
  <si>
    <t>ZEBRA</t>
  </si>
  <si>
    <t>SYMBOL</t>
  </si>
  <si>
    <t>POIU67890AZXC</t>
  </si>
  <si>
    <t>2345678Ñ</t>
  </si>
  <si>
    <t>INVENTARIO DE PDA (1 TIENDAS REALIZADAS)</t>
  </si>
  <si>
    <t>Inoperativos</t>
  </si>
  <si>
    <t>Con IMEI</t>
  </si>
  <si>
    <t>Marcas:</t>
  </si>
  <si>
    <t>SUNMI</t>
  </si>
  <si>
    <t>SHIJI</t>
  </si>
  <si>
    <t>HONEYWELL</t>
  </si>
  <si>
    <t>UNITECH</t>
  </si>
  <si>
    <t>Llenar solo las celdas crema (MARCA a COMENTARIO). MARCA y ESTADO se eligen de la lista. Usar los filtros de la fila de títulos. Ej.: SUNMI | L2s | L2S1234567 | INV-000123 | 123 456 789 | 356789012345678</t>
  </si>
  <si>
    <t>ANYDESK</t>
  </si>
  <si>
    <t>ANDROID IMEI</t>
  </si>
  <si>
    <t>COMENTARIO</t>
  </si>
  <si>
    <t>PDA (ASISTENTE DIGITAL PERSONAL)</t>
  </si>
  <si>
    <t>MAGICPDA</t>
  </si>
  <si>
    <t>ESD23456TGH</t>
  </si>
  <si>
    <t>12345678P</t>
  </si>
  <si>
    <t>ANY09756</t>
  </si>
  <si>
    <t>123456789123456</t>
  </si>
  <si>
    <t>CLASIFICACION</t>
  </si>
  <si>
    <t>REF</t>
  </si>
  <si>
    <t>Equipos Asignado</t>
  </si>
  <si>
    <t>VTAMOVIL AGOSTO</t>
  </si>
  <si>
    <t>CAJAS FIJAS</t>
  </si>
  <si>
    <t>TICKETERA</t>
  </si>
  <si>
    <t>LECTOR</t>
  </si>
  <si>
    <t>GAVETA</t>
  </si>
  <si>
    <t>SERVIDOR</t>
  </si>
  <si>
    <t>MANT</t>
  </si>
  <si>
    <t>ADICIONAL SEPT</t>
  </si>
  <si>
    <t>TOTAL SEPT.</t>
  </si>
  <si>
    <t>BRONCE</t>
  </si>
  <si>
    <t>no tiene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</si>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</sst>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F4E78"/>
      <sz val="10"/>
      <name val="Arial"/>
    </font>
    <font>
      <b/>
      <color rgb="FF1F4E78"/>
      <sz val="11"/>
      <name val="Arial"/>
    </font>
    <font>
      <i/>
      <color rgb="FF595959"/>
      <sz val="9"/>
      <name val="Arial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 outlineLevelRow="0" outlineLevelCol="0" x14ac:dyDescent="55"/>
  <cols>
    <col min="1" max="1" width="7" customWidth="1"/>
    <col min="2" max="2" width="14" customWidth="1"/>
    <col min="3" max="4" width="16" customWidth="1"/>
    <col min="5" max="5" width="45" customWidth="1"/>
    <col min="6" max="6" width="22" customWidth="1"/>
    <col min="7" max="7" width="26" customWidth="1"/>
    <col min="8" max="9" width="18" customWidth="1"/>
    <col min="10" max="12" width="20" customWidth="1"/>
    <col min="13" max="14" width="14" customWidth="1"/>
    <col min="15" max="15" width="24" customWidth="1"/>
    <col min="16" max="16" width="14" customWidth="1"/>
    <col min="17" max="17" width="32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24" customHeight="1" spans="2:16" x14ac:dyDescent="0.25">
      <c r="B3" s="2" t="s">
        <v>1</v>
      </c>
      <c r="C3" s="3">
        <f>SUMPRODUCT((B6:B11&lt;&gt;"")/COUNTIF(B6:B11,B6:B11&amp;""))</f>
      </c>
      <c r="D3" s="2" t="s">
        <v>2</v>
      </c>
      <c r="E3" s="3">
        <f>COUNTA(G6:G11)</f>
      </c>
      <c r="F3" s="2" t="s">
        <v>3</v>
      </c>
      <c r="G3" s="3">
        <f>COUNTA(K6:K11)</f>
      </c>
      <c r="I3" s="2" t="s">
        <v>4</v>
      </c>
      <c r="J3" s="3">
        <f>COUNTA(L6:L11)</f>
      </c>
      <c r="K3" s="2" t="s">
        <v>5</v>
      </c>
      <c r="L3" s="3">
        <f>COUNTIF(N6:N11,"Sí")</f>
      </c>
      <c r="M3" s="2" t="s">
        <v>6</v>
      </c>
      <c r="N3" s="3">
        <f>COUNTIF(N6:N11,"No")</f>
      </c>
      <c r="O3" s="2" t="s">
        <v>7</v>
      </c>
      <c r="P3" s="3">
        <f>COUNTA(G6:G11)-COUNTA(M6:M11)</f>
      </c>
    </row>
    <row r="4" ht="20" customHeight="1" spans="2:17" x14ac:dyDescent="0.25">
      <c r="B4" s="4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8" customHeight="1" spans="1:17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</row>
    <row r="6" ht="20" customHeight="1" spans="1:17" x14ac:dyDescent="0.25">
      <c r="A6" s="6">
        <v>1</v>
      </c>
      <c r="B6" s="6" t="s">
        <v>26</v>
      </c>
      <c r="C6" s="7" t="s">
        <v>27</v>
      </c>
      <c r="D6" s="7" t="s">
        <v>27</v>
      </c>
      <c r="E6" s="7" t="s">
        <v>28</v>
      </c>
      <c r="F6" s="6" t="s">
        <v>29</v>
      </c>
      <c r="G6" s="7" t="s">
        <v>30</v>
      </c>
      <c r="H6" s="8" t="s">
        <v>31</v>
      </c>
      <c r="I6" s="8" t="s">
        <v>32</v>
      </c>
      <c r="J6" s="8" t="s">
        <v>33</v>
      </c>
      <c r="K6" s="8" t="s">
        <v>34</v>
      </c>
      <c r="L6" s="8" t="s">
        <v>35</v>
      </c>
      <c r="M6" s="9" t="s">
        <v>36</v>
      </c>
      <c r="N6" s="9" t="s">
        <v>37</v>
      </c>
      <c r="O6" s="8" t="s">
        <v>38</v>
      </c>
      <c r="P6" s="9" t="s">
        <v>39</v>
      </c>
      <c r="Q6" s="8" t="s">
        <v>40</v>
      </c>
    </row>
    <row r="7" ht="20" customHeight="1" spans="1:17" x14ac:dyDescent="0.25">
      <c r="A7" s="6">
        <v>2</v>
      </c>
      <c r="B7" s="6" t="s">
        <v>26</v>
      </c>
      <c r="C7" s="7" t="s">
        <v>27</v>
      </c>
      <c r="D7" s="7" t="s">
        <v>27</v>
      </c>
      <c r="E7" s="7" t="s">
        <v>28</v>
      </c>
      <c r="F7" s="6" t="s">
        <v>29</v>
      </c>
      <c r="G7" s="7" t="s">
        <v>41</v>
      </c>
      <c r="H7" s="8" t="s">
        <v>40</v>
      </c>
      <c r="I7" s="8" t="s">
        <v>42</v>
      </c>
      <c r="J7" s="8" t="s">
        <v>43</v>
      </c>
      <c r="K7" s="8" t="s">
        <v>44</v>
      </c>
      <c r="L7" s="8" t="s">
        <v>45</v>
      </c>
      <c r="M7" s="9" t="s">
        <v>36</v>
      </c>
      <c r="N7" s="9" t="s">
        <v>37</v>
      </c>
      <c r="O7" s="8" t="s">
        <v>38</v>
      </c>
      <c r="P7" s="9" t="s">
        <v>39</v>
      </c>
      <c r="Q7" s="8" t="s">
        <v>40</v>
      </c>
    </row>
    <row r="8" ht="20" customHeight="1" spans="1:17" x14ac:dyDescent="0.25">
      <c r="A8" s="6">
        <v>3</v>
      </c>
      <c r="B8" s="6" t="s">
        <v>26</v>
      </c>
      <c r="C8" s="7" t="s">
        <v>27</v>
      </c>
      <c r="D8" s="7" t="s">
        <v>27</v>
      </c>
      <c r="E8" s="7" t="s">
        <v>28</v>
      </c>
      <c r="F8" s="6" t="s">
        <v>29</v>
      </c>
      <c r="G8" s="7" t="s">
        <v>46</v>
      </c>
      <c r="H8" s="8" t="s">
        <v>40</v>
      </c>
      <c r="I8" s="8" t="s">
        <v>47</v>
      </c>
      <c r="J8" s="8" t="s">
        <v>48</v>
      </c>
      <c r="K8" s="8" t="s">
        <v>49</v>
      </c>
      <c r="L8" s="8" t="s">
        <v>50</v>
      </c>
      <c r="M8" s="9" t="s">
        <v>36</v>
      </c>
      <c r="N8" s="9" t="s">
        <v>37</v>
      </c>
      <c r="O8" s="8" t="s">
        <v>38</v>
      </c>
      <c r="P8" s="9" t="s">
        <v>39</v>
      </c>
      <c r="Q8" s="8" t="s">
        <v>40</v>
      </c>
    </row>
    <row r="9" ht="20" customHeight="1" spans="1:17" x14ac:dyDescent="0.25">
      <c r="A9" s="6">
        <v>4</v>
      </c>
      <c r="B9" s="6" t="s">
        <v>26</v>
      </c>
      <c r="C9" s="7" t="s">
        <v>27</v>
      </c>
      <c r="D9" s="7" t="s">
        <v>27</v>
      </c>
      <c r="E9" s="7" t="s">
        <v>28</v>
      </c>
      <c r="F9" s="6" t="s">
        <v>29</v>
      </c>
      <c r="G9" s="7" t="s">
        <v>51</v>
      </c>
      <c r="H9" s="8" t="s">
        <v>40</v>
      </c>
      <c r="I9" s="8" t="s">
        <v>52</v>
      </c>
      <c r="J9" s="8" t="s">
        <v>53</v>
      </c>
      <c r="K9" s="8" t="s">
        <v>54</v>
      </c>
      <c r="L9" s="8" t="s">
        <v>50</v>
      </c>
      <c r="M9" s="9" t="s">
        <v>36</v>
      </c>
      <c r="N9" s="9" t="s">
        <v>37</v>
      </c>
      <c r="O9" s="8" t="s">
        <v>38</v>
      </c>
      <c r="P9" s="9" t="s">
        <v>39</v>
      </c>
      <c r="Q9" s="8" t="s">
        <v>40</v>
      </c>
    </row>
    <row r="10" ht="20" customHeight="1" spans="1:17" x14ac:dyDescent="0.25">
      <c r="A10" s="6">
        <v>5</v>
      </c>
      <c r="B10" s="6" t="s">
        <v>26</v>
      </c>
      <c r="C10" s="7" t="s">
        <v>27</v>
      </c>
      <c r="D10" s="7" t="s">
        <v>27</v>
      </c>
      <c r="E10" s="7" t="s">
        <v>28</v>
      </c>
      <c r="F10" s="6" t="s">
        <v>29</v>
      </c>
      <c r="G10" s="7" t="s">
        <v>30</v>
      </c>
      <c r="H10" s="8" t="s">
        <v>40</v>
      </c>
      <c r="I10" s="8" t="s">
        <v>47</v>
      </c>
      <c r="J10" s="8" t="s">
        <v>55</v>
      </c>
      <c r="K10" s="8" t="s">
        <v>56</v>
      </c>
      <c r="L10" s="8" t="s">
        <v>57</v>
      </c>
      <c r="M10" s="9" t="s">
        <v>36</v>
      </c>
      <c r="N10" s="9" t="s">
        <v>37</v>
      </c>
      <c r="O10" s="8" t="s">
        <v>38</v>
      </c>
      <c r="P10" s="9" t="s">
        <v>39</v>
      </c>
      <c r="Q10" s="8" t="s">
        <v>40</v>
      </c>
    </row>
    <row r="11" ht="20" customHeight="1" spans="1:17" x14ac:dyDescent="0.25">
      <c r="A11" s="6">
        <v>6</v>
      </c>
      <c r="B11" s="6" t="s">
        <v>26</v>
      </c>
      <c r="C11" s="7" t="s">
        <v>27</v>
      </c>
      <c r="D11" s="7" t="s">
        <v>27</v>
      </c>
      <c r="E11" s="7" t="s">
        <v>28</v>
      </c>
      <c r="F11" s="6" t="s">
        <v>29</v>
      </c>
      <c r="G11" s="7" t="s">
        <v>58</v>
      </c>
      <c r="H11" s="8" t="s">
        <v>40</v>
      </c>
      <c r="I11" s="8" t="s">
        <v>59</v>
      </c>
      <c r="J11" s="8" t="s">
        <v>60</v>
      </c>
      <c r="K11" s="8" t="s">
        <v>61</v>
      </c>
      <c r="L11" s="8" t="s">
        <v>62</v>
      </c>
      <c r="M11" s="9" t="s">
        <v>36</v>
      </c>
      <c r="N11" s="9" t="s">
        <v>37</v>
      </c>
      <c r="O11" s="8" t="s">
        <v>38</v>
      </c>
      <c r="P11" s="9" t="s">
        <v>39</v>
      </c>
      <c r="Q11" s="8" t="s">
        <v>40</v>
      </c>
    </row>
  </sheetData>
  <mergeCells count="2">
    <mergeCell ref="A1:Q1"/>
    <mergeCell ref="B4:Q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 outlineLevelRow="0" outlineLevelCol="0" x14ac:dyDescent="55"/>
  <cols>
    <col min="1" max="1" width="7" customWidth="1"/>
    <col min="2" max="2" width="14" customWidth="1"/>
    <col min="3" max="4" width="16" customWidth="1"/>
    <col min="5" max="5" width="45" customWidth="1"/>
    <col min="6" max="7" width="18" customWidth="1"/>
    <col min="8" max="10" width="20" customWidth="1"/>
    <col min="11" max="11" width="18" customWidth="1"/>
    <col min="12" max="12" width="22" customWidth="1"/>
    <col min="13" max="13" width="16" customWidth="1"/>
    <col min="14" max="14" width="24" customWidth="1"/>
    <col min="15" max="15" width="32" customWidth="1"/>
  </cols>
  <sheetData>
    <row r="1" ht="32" customHeight="1" spans="1:15" x14ac:dyDescent="0.2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ht="24" customHeight="1" spans="2:15" x14ac:dyDescent="0.25">
      <c r="B3" s="2" t="s">
        <v>1</v>
      </c>
      <c r="C3" s="3">
        <f>SUMPRODUCT((B7:B7&lt;&gt;"")/COUNTIF(B7:B7,B7:B7&amp;""))</f>
      </c>
      <c r="D3" s="2" t="s">
        <v>2</v>
      </c>
      <c r="E3" s="3">
        <f>COUNTA(F7:F7)</f>
      </c>
      <c r="F3" s="2" t="s">
        <v>5</v>
      </c>
      <c r="G3" s="3">
        <f>COUNTIF(M7:M7,"OPERATIVO")</f>
      </c>
      <c r="H3" s="2" t="s">
        <v>64</v>
      </c>
      <c r="I3" s="3">
        <f>COUNTIF(M7:M7,"INOPERATIVO")</f>
      </c>
      <c r="J3" s="2" t="s">
        <v>7</v>
      </c>
      <c r="K3" s="3">
        <f>COUNTA(F7:F7)-COUNTA(M7:M7)</f>
      </c>
      <c r="L3" s="2" t="s">
        <v>3</v>
      </c>
      <c r="M3" s="3">
        <f>COUNTA(I7:I7)</f>
      </c>
      <c r="N3" s="2" t="s">
        <v>65</v>
      </c>
      <c r="O3" s="3">
        <f>COUNTA(L7:L7)</f>
      </c>
    </row>
    <row r="4" ht="22" customHeight="1" spans="1:9" x14ac:dyDescent="0.25">
      <c r="A4" s="10" t="s">
        <v>66</v>
      </c>
      <c r="B4" s="11" t="s">
        <v>67</v>
      </c>
      <c r="C4" s="12">
        <f>COUNTIF(G7:G7,"SUNMI")</f>
      </c>
      <c r="D4" s="11" t="s">
        <v>68</v>
      </c>
      <c r="E4" s="12">
        <f>COUNTIF(G7:G7,"SHIJI")</f>
      </c>
      <c r="F4" s="11" t="s">
        <v>69</v>
      </c>
      <c r="G4" s="12">
        <f>COUNTIF(G7:G7,"HONEYWELL")</f>
      </c>
      <c r="H4" s="11" t="s">
        <v>70</v>
      </c>
      <c r="I4" s="12">
        <f>COUNTIF(G7:G7,"UNITECH")</f>
      </c>
    </row>
    <row r="5" ht="20" customHeight="1" spans="2:15" x14ac:dyDescent="0.25">
      <c r="B5" s="4" t="s">
        <v>71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28" customHeight="1" spans="1:15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15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72</v>
      </c>
      <c r="L6" s="5" t="s">
        <v>73</v>
      </c>
      <c r="M6" s="5" t="s">
        <v>21</v>
      </c>
      <c r="N6" s="5" t="s">
        <v>23</v>
      </c>
      <c r="O6" s="5" t="s">
        <v>74</v>
      </c>
    </row>
    <row r="7" ht="20" customHeight="1" spans="1:15" x14ac:dyDescent="0.25">
      <c r="A7" s="6">
        <v>1</v>
      </c>
      <c r="B7" s="6" t="s">
        <v>26</v>
      </c>
      <c r="C7" s="7" t="s">
        <v>27</v>
      </c>
      <c r="D7" s="7" t="s">
        <v>27</v>
      </c>
      <c r="E7" s="7" t="s">
        <v>28</v>
      </c>
      <c r="F7" s="7" t="s">
        <v>75</v>
      </c>
      <c r="G7" s="8" t="s">
        <v>69</v>
      </c>
      <c r="H7" s="8" t="s">
        <v>76</v>
      </c>
      <c r="I7" s="8" t="s">
        <v>77</v>
      </c>
      <c r="J7" s="8" t="s">
        <v>78</v>
      </c>
      <c r="K7" s="9" t="s">
        <v>79</v>
      </c>
      <c r="L7" s="9" t="s">
        <v>80</v>
      </c>
      <c r="M7" s="9" t="s">
        <v>22</v>
      </c>
      <c r="N7" s="8" t="s">
        <v>38</v>
      </c>
      <c r="O7" s="8" t="s">
        <v>40</v>
      </c>
    </row>
  </sheetData>
  <mergeCells count="2">
    <mergeCell ref="A1:O1"/>
    <mergeCell ref="B5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5" width="16" customWidth="1"/>
    <col min="6" max="6" width="45" customWidth="1"/>
    <col min="7" max="8" width="18" customWidth="1"/>
    <col min="9" max="12" width="14" customWidth="1"/>
    <col min="13" max="13" width="16" customWidth="1"/>
    <col min="14" max="14" width="12" customWidth="1"/>
    <col min="15" max="15" width="5" customWidth="1"/>
    <col min="16" max="17" width="18" customWidth="1"/>
  </cols>
  <sheetData>
    <row r="1" ht="28" customHeight="1" spans="2:17" x14ac:dyDescent="0.25">
      <c r="B1" s="13" t="s">
        <v>11</v>
      </c>
      <c r="C1" s="13" t="s">
        <v>9</v>
      </c>
      <c r="D1" s="13" t="s">
        <v>81</v>
      </c>
      <c r="E1" s="13" t="s">
        <v>82</v>
      </c>
      <c r="F1" s="13" t="s">
        <v>13</v>
      </c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3" t="s">
        <v>90</v>
      </c>
      <c r="P1" s="13" t="s">
        <v>91</v>
      </c>
      <c r="Q1" s="13" t="s">
        <v>92</v>
      </c>
    </row>
    <row r="2" ht="20" customHeight="1" spans="2:17" x14ac:dyDescent="0.25">
      <c r="B2" s="14" t="s">
        <v>27</v>
      </c>
      <c r="C2" s="15" t="s">
        <v>26</v>
      </c>
      <c r="D2" s="14" t="s">
        <v>93</v>
      </c>
      <c r="E2" s="14" t="s">
        <v>27</v>
      </c>
      <c r="F2" s="14" t="s">
        <v>28</v>
      </c>
      <c r="G2" s="15">
        <v>1</v>
      </c>
      <c r="H2" s="15">
        <v>1</v>
      </c>
      <c r="I2" s="15">
        <v>1</v>
      </c>
      <c r="J2" s="15">
        <f>I2</f>
      </c>
      <c r="K2" s="15">
        <f>I2</f>
      </c>
      <c r="L2" s="15">
        <f>I2</f>
      </c>
      <c r="M2" s="15" t="s">
        <v>94</v>
      </c>
      <c r="N2" s="15" t="s">
        <v>95</v>
      </c>
      <c r="P2" s="15">
        <v>0</v>
      </c>
      <c r="Q2" s="15">
        <f>H2+P2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 POS</vt:lpstr>
      <vt:lpstr>Inventario PDA</vt:lpstr>
      <vt:lpstr>PDA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JSERVICE RV</dc:creator>
  <dc:title/>
  <dc:subject/>
  <dc:description/>
  <cp:keywords/>
  <cp:category/>
  <cp:lastModifiedBy>JSERVICE RV</cp:lastModifiedBy>
  <dcterms:created xsi:type="dcterms:W3CDTF">2026-09-26T23:26:51Z</dcterms:created>
  <dcterms:modified xsi:type="dcterms:W3CDTF">2026-09-26T23:26:51Z</dcterms:modified>
</cp:coreProperties>
</file>