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DD413C1-F466-4C82-A0C2-75E9B7C5C7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 POS" sheetId="1" r:id="rId1"/>
    <sheet name="Inventario PDA" sheetId="2" r:id="rId2"/>
    <sheet name="PD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3" l="1"/>
  <c r="L2" i="3"/>
  <c r="K2" i="3"/>
  <c r="J2" i="3"/>
  <c r="I4" i="2"/>
  <c r="G4" i="2"/>
  <c r="E4" i="2"/>
  <c r="C4" i="2"/>
  <c r="O3" i="2"/>
  <c r="M3" i="2"/>
  <c r="K3" i="2"/>
  <c r="I3" i="2"/>
  <c r="G3" i="2"/>
  <c r="E3" i="2"/>
  <c r="C3" i="2"/>
  <c r="P3" i="1"/>
  <c r="N3" i="1"/>
  <c r="L3" i="1"/>
  <c r="J3" i="1"/>
  <c r="G3" i="1"/>
  <c r="E3" i="1"/>
  <c r="C3" i="1"/>
</calcChain>
</file>

<file path=xl/sharedStrings.xml><?xml version="1.0" encoding="utf-8"?>
<sst xmlns="http://schemas.openxmlformats.org/spreadsheetml/2006/main" count="298" uniqueCount="128">
  <si>
    <t>INVENTARIO DE EQUIPOS – POS EN PRODUCCIÓN (1 TIENDAS REALIZADAS)</t>
  </si>
  <si>
    <t>Tiendas</t>
  </si>
  <si>
    <t>Equipos</t>
  </si>
  <si>
    <t>Con serie</t>
  </si>
  <si>
    <t>Con cód. inventario</t>
  </si>
  <si>
    <t>Operativos</t>
  </si>
  <si>
    <t>No operativos</t>
  </si>
  <si>
    <t>Pendientes</t>
  </si>
  <si>
    <t>Llenar solo las celdas crema (MARCA a OBSERVACIONES). Usar los filtros de la fila de títulos para buscar por tienda, ciudad, zona o equipo. Ej.: Epson | TM-T20III | X5E1234567 | INV-000123</t>
  </si>
  <si>
    <t>N°</t>
  </si>
  <si>
    <t>COD TIENDA</t>
  </si>
  <si>
    <t>CIUDAD</t>
  </si>
  <si>
    <t>ZONA</t>
  </si>
  <si>
    <t>DIRECCION</t>
  </si>
  <si>
    <t>INVENTARIO</t>
  </si>
  <si>
    <t>EQUIPO</t>
  </si>
  <si>
    <t>HOSTNAME</t>
  </si>
  <si>
    <t>MARCA</t>
  </si>
  <si>
    <t>MODELO</t>
  </si>
  <si>
    <t>SERIE</t>
  </si>
  <si>
    <t>COD INVENTARIO</t>
  </si>
  <si>
    <t>ESTADO</t>
  </si>
  <si>
    <t>OPERATIVO</t>
  </si>
  <si>
    <t>RESPONSABLE</t>
  </si>
  <si>
    <t>FECHA</t>
  </si>
  <si>
    <t>OBSERVACIONES</t>
  </si>
  <si>
    <t>B11</t>
  </si>
  <si>
    <t>LIMA</t>
  </si>
  <si>
    <t>AV. NICOLAS AYLLON 8694 INT 124 - LC.124-125-126 C.C. REAL.PLAZA. SANTA CLARA - ATE</t>
  </si>
  <si>
    <t>POS EN PRODUCCIÓN</t>
  </si>
  <si>
    <t>All in One CAJA01</t>
  </si>
  <si>
    <t>RASHPERU POS01</t>
  </si>
  <si>
    <t>HP</t>
  </si>
  <si>
    <t>ALLTOUCH</t>
  </si>
  <si>
    <t>QAZ12345TGB</t>
  </si>
  <si>
    <t>12345678Z</t>
  </si>
  <si>
    <t>Bueno</t>
  </si>
  <si>
    <t>Sí</t>
  </si>
  <si>
    <t>DIEGO ALEJANDRO RODRÍGUEZ MARTÍNEZ</t>
  </si>
  <si>
    <t>27/09/2026, 09:22 hrs</t>
  </si>
  <si>
    <t/>
  </si>
  <si>
    <t>Monitor secundario Dell Vta360</t>
  </si>
  <si>
    <t>DELL</t>
  </si>
  <si>
    <t>VTA360</t>
  </si>
  <si>
    <t>SDF56789YUI</t>
  </si>
  <si>
    <t>12345678M</t>
  </si>
  <si>
    <t>Ticketera CAJA01</t>
  </si>
  <si>
    <t>EPSON</t>
  </si>
  <si>
    <t>TM-T20III</t>
  </si>
  <si>
    <t>DFG56789IKM</t>
  </si>
  <si>
    <t>12345678G</t>
  </si>
  <si>
    <t>Lector de codigo de barras CAJA01</t>
  </si>
  <si>
    <t>ZEBRA</t>
  </si>
  <si>
    <t>SYMBOL</t>
  </si>
  <si>
    <t>RFV56789VBN</t>
  </si>
  <si>
    <t>12345678A</t>
  </si>
  <si>
    <t>Gaveta de Dinero CAJA01</t>
  </si>
  <si>
    <t>GENERIC</t>
  </si>
  <si>
    <t>FULLMONEY</t>
  </si>
  <si>
    <t>SDF5678GHJ</t>
  </si>
  <si>
    <t>12345678H</t>
  </si>
  <si>
    <t>Ups / Estabilizador CAJA01</t>
  </si>
  <si>
    <t>ELISE</t>
  </si>
  <si>
    <t>FASEONE</t>
  </si>
  <si>
    <t>PLÑ98765HYT</t>
  </si>
  <si>
    <t>12345678F</t>
  </si>
  <si>
    <t>Huellero</t>
  </si>
  <si>
    <t>BIODETETCT</t>
  </si>
  <si>
    <t>FGB56789TYH</t>
  </si>
  <si>
    <t>12345678K</t>
  </si>
  <si>
    <t>Impresora Inalámbrica de Recibos</t>
  </si>
  <si>
    <t>BOXILON</t>
  </si>
  <si>
    <t>SPP-SP67Y</t>
  </si>
  <si>
    <t>QWES56789TGH</t>
  </si>
  <si>
    <t>12345678S</t>
  </si>
  <si>
    <t>Switch de Comunicaciones</t>
  </si>
  <si>
    <t>CISCO</t>
  </si>
  <si>
    <t>CATALYS</t>
  </si>
  <si>
    <t>ERF09876HBN</t>
  </si>
  <si>
    <t>12345678B</t>
  </si>
  <si>
    <t>Router de Conectividad</t>
  </si>
  <si>
    <t>MIKROTIK</t>
  </si>
  <si>
    <t>ROUTERE</t>
  </si>
  <si>
    <t>SXC345678FDC</t>
  </si>
  <si>
    <t>12345678I</t>
  </si>
  <si>
    <t>APC</t>
  </si>
  <si>
    <t>1000VAFULL</t>
  </si>
  <si>
    <t>IOK6789HNM</t>
  </si>
  <si>
    <t>BACKUP / ALMACÉN</t>
  </si>
  <si>
    <t>All in One BACKUP</t>
  </si>
  <si>
    <t>FYJ12345EAQ</t>
  </si>
  <si>
    <t>12345678U</t>
  </si>
  <si>
    <t>Ticketera BACKUP</t>
  </si>
  <si>
    <t>HKO345678QNM</t>
  </si>
  <si>
    <t>12345678O</t>
  </si>
  <si>
    <t>INVENTARIO DE PDA (1 TIENDAS REALIZADAS)</t>
  </si>
  <si>
    <t>Inoperativos</t>
  </si>
  <si>
    <t>Con IMEI</t>
  </si>
  <si>
    <t>Marcas:</t>
  </si>
  <si>
    <t>SUNMI</t>
  </si>
  <si>
    <t>SHIJI</t>
  </si>
  <si>
    <t>HONEYWELL</t>
  </si>
  <si>
    <t>UNITECH</t>
  </si>
  <si>
    <t>Llenar solo las celdas crema (MARCA a COMENTARIO). MARCA y ESTADO se eligen de la lista. Usar los filtros de la fila de títulos. Ej.: SUNMI | L2s | L2S1234567 | INV-000123 | 123 456 789 | 356789012345678</t>
  </si>
  <si>
    <t>ANYDESK</t>
  </si>
  <si>
    <t>ANDROID IMEI</t>
  </si>
  <si>
    <t>COMENTARIO</t>
  </si>
  <si>
    <t>PDA01</t>
  </si>
  <si>
    <t>MAGICPDA</t>
  </si>
  <si>
    <t>CDS345678HJU</t>
  </si>
  <si>
    <t>12345678J</t>
  </si>
  <si>
    <t>ANY098765</t>
  </si>
  <si>
    <t>123456789123456</t>
  </si>
  <si>
    <t>CLASIFICACION</t>
  </si>
  <si>
    <t>REF</t>
  </si>
  <si>
    <t>Equipos Asignado</t>
  </si>
  <si>
    <t>VTAMOVIL AGOSTO</t>
  </si>
  <si>
    <t>CAJAS FIJAS</t>
  </si>
  <si>
    <t>TICKETERA</t>
  </si>
  <si>
    <t>LECTOR</t>
  </si>
  <si>
    <t>GAVETA</t>
  </si>
  <si>
    <t>SERVIDOR</t>
  </si>
  <si>
    <t>MANT</t>
  </si>
  <si>
    <t>ADICIONAL SEPT</t>
  </si>
  <si>
    <t>TOTAL SEPT.</t>
  </si>
  <si>
    <t>BRONCE</t>
  </si>
  <si>
    <t>no tiene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</si>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</sst>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F4E78"/>
      <name val="Arial"/>
    </font>
    <font>
      <b/>
      <sz val="11"/>
      <color rgb="FF1F4E78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sqref="A1:Q1"/>
    </sheetView>
  </sheetViews>
  <sheetFormatPr baseColWidth="10" defaultColWidth="9.140625" defaultRowHeight="15" x14ac:dyDescent="0.25"/>
  <cols>
    <col min="1" max="1" width="7" customWidth="1"/>
    <col min="2" max="2" width="10.28515625" customWidth="1"/>
    <col min="3" max="3" width="9.140625" bestFit="1" customWidth="1"/>
    <col min="4" max="4" width="8.140625" bestFit="1" customWidth="1"/>
    <col min="5" max="5" width="45" customWidth="1"/>
    <col min="6" max="6" width="22" customWidth="1"/>
    <col min="7" max="7" width="32.85546875" customWidth="1"/>
    <col min="8" max="9" width="18" customWidth="1"/>
    <col min="10" max="12" width="20" customWidth="1"/>
    <col min="13" max="14" width="14" customWidth="1"/>
    <col min="15" max="15" width="24" customWidth="1"/>
    <col min="16" max="16" width="19.140625" bestFit="1" customWidth="1"/>
    <col min="17" max="17" width="32" customWidth="1"/>
  </cols>
  <sheetData>
    <row r="1" spans="1:17" ht="32.1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ht="24" customHeight="1" x14ac:dyDescent="0.25">
      <c r="B3" s="1" t="s">
        <v>1</v>
      </c>
      <c r="C3" s="2">
        <f>SUMPRODUCT((B6:B18&lt;&gt;"")/COUNTIF(B6:B18,B6:B18&amp;""))</f>
        <v>0.99999999999999978</v>
      </c>
      <c r="D3" s="1" t="s">
        <v>2</v>
      </c>
      <c r="E3" s="2">
        <f>COUNTA(G6:G18)</f>
        <v>13</v>
      </c>
      <c r="F3" s="1" t="s">
        <v>3</v>
      </c>
      <c r="G3" s="2">
        <f>COUNTA(K6:K18)</f>
        <v>13</v>
      </c>
      <c r="I3" s="1" t="s">
        <v>4</v>
      </c>
      <c r="J3" s="2">
        <f>COUNTA(L6:L18)</f>
        <v>13</v>
      </c>
      <c r="K3" s="1" t="s">
        <v>5</v>
      </c>
      <c r="L3" s="2">
        <f>COUNTIF(N6:N18,"Sí")</f>
        <v>13</v>
      </c>
      <c r="M3" s="1" t="s">
        <v>6</v>
      </c>
      <c r="N3" s="2">
        <f>COUNTIF(N6:N18,"No")</f>
        <v>0</v>
      </c>
      <c r="O3" s="1" t="s">
        <v>7</v>
      </c>
      <c r="P3" s="2">
        <f>COUNTA(G6:G18)-COUNTA(M6:M18)</f>
        <v>0</v>
      </c>
    </row>
    <row r="4" spans="1:17" ht="20.100000000000001" customHeight="1" x14ac:dyDescent="0.25">
      <c r="B4" s="15" t="s">
        <v>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ht="27.95" customHeight="1" x14ac:dyDescent="0.25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23</v>
      </c>
      <c r="P5" s="3" t="s">
        <v>24</v>
      </c>
      <c r="Q5" s="3" t="s">
        <v>25</v>
      </c>
    </row>
    <row r="6" spans="1:17" ht="20.100000000000001" customHeight="1" x14ac:dyDescent="0.25">
      <c r="A6" s="4">
        <v>1</v>
      </c>
      <c r="B6" s="4" t="s">
        <v>26</v>
      </c>
      <c r="C6" s="5" t="s">
        <v>27</v>
      </c>
      <c r="D6" s="5" t="s">
        <v>27</v>
      </c>
      <c r="E6" s="5" t="s">
        <v>28</v>
      </c>
      <c r="F6" s="4" t="s">
        <v>29</v>
      </c>
      <c r="G6" s="5" t="s">
        <v>30</v>
      </c>
      <c r="H6" s="6" t="s">
        <v>31</v>
      </c>
      <c r="I6" s="6" t="s">
        <v>32</v>
      </c>
      <c r="J6" s="6" t="s">
        <v>33</v>
      </c>
      <c r="K6" s="6" t="s">
        <v>34</v>
      </c>
      <c r="L6" s="6" t="s">
        <v>35</v>
      </c>
      <c r="M6" s="7" t="s">
        <v>36</v>
      </c>
      <c r="N6" s="7" t="s">
        <v>37</v>
      </c>
      <c r="O6" s="6" t="s">
        <v>38</v>
      </c>
      <c r="P6" s="7" t="s">
        <v>39</v>
      </c>
      <c r="Q6" s="6" t="s">
        <v>40</v>
      </c>
    </row>
    <row r="7" spans="1:17" ht="20.100000000000001" customHeight="1" x14ac:dyDescent="0.25">
      <c r="A7" s="4">
        <v>2</v>
      </c>
      <c r="B7" s="4" t="s">
        <v>26</v>
      </c>
      <c r="C7" s="5" t="s">
        <v>27</v>
      </c>
      <c r="D7" s="5" t="s">
        <v>27</v>
      </c>
      <c r="E7" s="5" t="s">
        <v>28</v>
      </c>
      <c r="F7" s="4" t="s">
        <v>29</v>
      </c>
      <c r="G7" s="5" t="s">
        <v>41</v>
      </c>
      <c r="H7" s="6" t="s">
        <v>40</v>
      </c>
      <c r="I7" s="6" t="s">
        <v>42</v>
      </c>
      <c r="J7" s="6" t="s">
        <v>43</v>
      </c>
      <c r="K7" s="6" t="s">
        <v>44</v>
      </c>
      <c r="L7" s="6" t="s">
        <v>45</v>
      </c>
      <c r="M7" s="7" t="s">
        <v>36</v>
      </c>
      <c r="N7" s="7" t="s">
        <v>37</v>
      </c>
      <c r="O7" s="6" t="s">
        <v>38</v>
      </c>
      <c r="P7" s="7" t="s">
        <v>39</v>
      </c>
      <c r="Q7" s="6" t="s">
        <v>40</v>
      </c>
    </row>
    <row r="8" spans="1:17" ht="20.100000000000001" customHeight="1" x14ac:dyDescent="0.25">
      <c r="A8" s="4">
        <v>3</v>
      </c>
      <c r="B8" s="4" t="s">
        <v>26</v>
      </c>
      <c r="C8" s="5" t="s">
        <v>27</v>
      </c>
      <c r="D8" s="5" t="s">
        <v>27</v>
      </c>
      <c r="E8" s="5" t="s">
        <v>28</v>
      </c>
      <c r="F8" s="4" t="s">
        <v>29</v>
      </c>
      <c r="G8" s="5" t="s">
        <v>46</v>
      </c>
      <c r="H8" s="6" t="s">
        <v>40</v>
      </c>
      <c r="I8" s="6" t="s">
        <v>47</v>
      </c>
      <c r="J8" s="6" t="s">
        <v>48</v>
      </c>
      <c r="K8" s="6" t="s">
        <v>49</v>
      </c>
      <c r="L8" s="6" t="s">
        <v>50</v>
      </c>
      <c r="M8" s="7" t="s">
        <v>36</v>
      </c>
      <c r="N8" s="7" t="s">
        <v>37</v>
      </c>
      <c r="O8" s="6" t="s">
        <v>38</v>
      </c>
      <c r="P8" s="7" t="s">
        <v>39</v>
      </c>
      <c r="Q8" s="6" t="s">
        <v>40</v>
      </c>
    </row>
    <row r="9" spans="1:17" ht="20.100000000000001" customHeight="1" x14ac:dyDescent="0.25">
      <c r="A9" s="4">
        <v>4</v>
      </c>
      <c r="B9" s="4" t="s">
        <v>26</v>
      </c>
      <c r="C9" s="5" t="s">
        <v>27</v>
      </c>
      <c r="D9" s="5" t="s">
        <v>27</v>
      </c>
      <c r="E9" s="5" t="s">
        <v>28</v>
      </c>
      <c r="F9" s="4" t="s">
        <v>29</v>
      </c>
      <c r="G9" s="5" t="s">
        <v>51</v>
      </c>
      <c r="H9" s="6" t="s">
        <v>40</v>
      </c>
      <c r="I9" s="6" t="s">
        <v>52</v>
      </c>
      <c r="J9" s="6" t="s">
        <v>53</v>
      </c>
      <c r="K9" s="6" t="s">
        <v>54</v>
      </c>
      <c r="L9" s="6" t="s">
        <v>55</v>
      </c>
      <c r="M9" s="7" t="s">
        <v>36</v>
      </c>
      <c r="N9" s="7" t="s">
        <v>37</v>
      </c>
      <c r="O9" s="6" t="s">
        <v>38</v>
      </c>
      <c r="P9" s="7" t="s">
        <v>39</v>
      </c>
      <c r="Q9" s="6" t="s">
        <v>40</v>
      </c>
    </row>
    <row r="10" spans="1:17" ht="20.100000000000001" customHeight="1" x14ac:dyDescent="0.25">
      <c r="A10" s="4">
        <v>5</v>
      </c>
      <c r="B10" s="4" t="s">
        <v>26</v>
      </c>
      <c r="C10" s="5" t="s">
        <v>27</v>
      </c>
      <c r="D10" s="5" t="s">
        <v>27</v>
      </c>
      <c r="E10" s="5" t="s">
        <v>28</v>
      </c>
      <c r="F10" s="4" t="s">
        <v>29</v>
      </c>
      <c r="G10" s="5" t="s">
        <v>56</v>
      </c>
      <c r="H10" s="6" t="s">
        <v>40</v>
      </c>
      <c r="I10" s="6" t="s">
        <v>57</v>
      </c>
      <c r="J10" s="6" t="s">
        <v>58</v>
      </c>
      <c r="K10" s="6" t="s">
        <v>59</v>
      </c>
      <c r="L10" s="6" t="s">
        <v>60</v>
      </c>
      <c r="M10" s="7" t="s">
        <v>36</v>
      </c>
      <c r="N10" s="7" t="s">
        <v>37</v>
      </c>
      <c r="O10" s="6" t="s">
        <v>38</v>
      </c>
      <c r="P10" s="7" t="s">
        <v>39</v>
      </c>
      <c r="Q10" s="6" t="s">
        <v>40</v>
      </c>
    </row>
    <row r="11" spans="1:17" ht="20.100000000000001" customHeight="1" x14ac:dyDescent="0.25">
      <c r="A11" s="4">
        <v>6</v>
      </c>
      <c r="B11" s="4" t="s">
        <v>26</v>
      </c>
      <c r="C11" s="5" t="s">
        <v>27</v>
      </c>
      <c r="D11" s="5" t="s">
        <v>27</v>
      </c>
      <c r="E11" s="5" t="s">
        <v>28</v>
      </c>
      <c r="F11" s="4" t="s">
        <v>29</v>
      </c>
      <c r="G11" s="5" t="s">
        <v>61</v>
      </c>
      <c r="H11" s="6" t="s">
        <v>40</v>
      </c>
      <c r="I11" s="6" t="s">
        <v>62</v>
      </c>
      <c r="J11" s="6" t="s">
        <v>63</v>
      </c>
      <c r="K11" s="6" t="s">
        <v>64</v>
      </c>
      <c r="L11" s="6" t="s">
        <v>65</v>
      </c>
      <c r="M11" s="7" t="s">
        <v>36</v>
      </c>
      <c r="N11" s="7" t="s">
        <v>37</v>
      </c>
      <c r="O11" s="6" t="s">
        <v>38</v>
      </c>
      <c r="P11" s="7" t="s">
        <v>39</v>
      </c>
      <c r="Q11" s="6" t="s">
        <v>40</v>
      </c>
    </row>
    <row r="12" spans="1:17" ht="20.100000000000001" customHeight="1" x14ac:dyDescent="0.25">
      <c r="A12" s="4">
        <v>7</v>
      </c>
      <c r="B12" s="4" t="s">
        <v>26</v>
      </c>
      <c r="C12" s="5" t="s">
        <v>27</v>
      </c>
      <c r="D12" s="5" t="s">
        <v>27</v>
      </c>
      <c r="E12" s="5" t="s">
        <v>28</v>
      </c>
      <c r="F12" s="4" t="s">
        <v>29</v>
      </c>
      <c r="G12" s="5" t="s">
        <v>66</v>
      </c>
      <c r="H12" s="6" t="s">
        <v>40</v>
      </c>
      <c r="I12" s="6" t="s">
        <v>57</v>
      </c>
      <c r="J12" s="6" t="s">
        <v>67</v>
      </c>
      <c r="K12" s="6" t="s">
        <v>68</v>
      </c>
      <c r="L12" s="6" t="s">
        <v>69</v>
      </c>
      <c r="M12" s="7" t="s">
        <v>36</v>
      </c>
      <c r="N12" s="7" t="s">
        <v>37</v>
      </c>
      <c r="O12" s="6" t="s">
        <v>38</v>
      </c>
      <c r="P12" s="7" t="s">
        <v>39</v>
      </c>
      <c r="Q12" s="6" t="s">
        <v>40</v>
      </c>
    </row>
    <row r="13" spans="1:17" ht="20.100000000000001" customHeight="1" x14ac:dyDescent="0.25">
      <c r="A13" s="4">
        <v>8</v>
      </c>
      <c r="B13" s="4" t="s">
        <v>26</v>
      </c>
      <c r="C13" s="5" t="s">
        <v>27</v>
      </c>
      <c r="D13" s="5" t="s">
        <v>27</v>
      </c>
      <c r="E13" s="5" t="s">
        <v>28</v>
      </c>
      <c r="F13" s="4" t="s">
        <v>29</v>
      </c>
      <c r="G13" s="5" t="s">
        <v>70</v>
      </c>
      <c r="H13" s="6" t="s">
        <v>40</v>
      </c>
      <c r="I13" s="6" t="s">
        <v>71</v>
      </c>
      <c r="J13" s="6" t="s">
        <v>72</v>
      </c>
      <c r="K13" s="6" t="s">
        <v>73</v>
      </c>
      <c r="L13" s="6" t="s">
        <v>74</v>
      </c>
      <c r="M13" s="7" t="s">
        <v>36</v>
      </c>
      <c r="N13" s="7" t="s">
        <v>37</v>
      </c>
      <c r="O13" s="6" t="s">
        <v>38</v>
      </c>
      <c r="P13" s="7" t="s">
        <v>39</v>
      </c>
      <c r="Q13" s="6" t="s">
        <v>40</v>
      </c>
    </row>
    <row r="14" spans="1:17" ht="20.100000000000001" customHeight="1" x14ac:dyDescent="0.25">
      <c r="A14" s="4">
        <v>9</v>
      </c>
      <c r="B14" s="4" t="s">
        <v>26</v>
      </c>
      <c r="C14" s="5" t="s">
        <v>27</v>
      </c>
      <c r="D14" s="5" t="s">
        <v>27</v>
      </c>
      <c r="E14" s="5" t="s">
        <v>28</v>
      </c>
      <c r="F14" s="4" t="s">
        <v>29</v>
      </c>
      <c r="G14" s="5" t="s">
        <v>75</v>
      </c>
      <c r="H14" s="6" t="s">
        <v>40</v>
      </c>
      <c r="I14" s="6" t="s">
        <v>76</v>
      </c>
      <c r="J14" s="6" t="s">
        <v>77</v>
      </c>
      <c r="K14" s="6" t="s">
        <v>78</v>
      </c>
      <c r="L14" s="6" t="s">
        <v>79</v>
      </c>
      <c r="M14" s="7" t="s">
        <v>36</v>
      </c>
      <c r="N14" s="7" t="s">
        <v>37</v>
      </c>
      <c r="O14" s="6" t="s">
        <v>38</v>
      </c>
      <c r="P14" s="7" t="s">
        <v>39</v>
      </c>
      <c r="Q14" s="6" t="s">
        <v>40</v>
      </c>
    </row>
    <row r="15" spans="1:17" ht="20.100000000000001" customHeight="1" x14ac:dyDescent="0.25">
      <c r="A15" s="4">
        <v>10</v>
      </c>
      <c r="B15" s="4" t="s">
        <v>26</v>
      </c>
      <c r="C15" s="5" t="s">
        <v>27</v>
      </c>
      <c r="D15" s="5" t="s">
        <v>27</v>
      </c>
      <c r="E15" s="5" t="s">
        <v>28</v>
      </c>
      <c r="F15" s="4" t="s">
        <v>29</v>
      </c>
      <c r="G15" s="5" t="s">
        <v>80</v>
      </c>
      <c r="H15" s="6" t="s">
        <v>40</v>
      </c>
      <c r="I15" s="6" t="s">
        <v>81</v>
      </c>
      <c r="J15" s="6" t="s">
        <v>82</v>
      </c>
      <c r="K15" s="6" t="s">
        <v>83</v>
      </c>
      <c r="L15" s="6" t="s">
        <v>84</v>
      </c>
      <c r="M15" s="7" t="s">
        <v>36</v>
      </c>
      <c r="N15" s="7" t="s">
        <v>37</v>
      </c>
      <c r="O15" s="6" t="s">
        <v>38</v>
      </c>
      <c r="P15" s="7" t="s">
        <v>39</v>
      </c>
      <c r="Q15" s="6" t="s">
        <v>40</v>
      </c>
    </row>
    <row r="16" spans="1:17" ht="20.100000000000001" customHeight="1" x14ac:dyDescent="0.25">
      <c r="A16" s="4">
        <v>11</v>
      </c>
      <c r="B16" s="4" t="s">
        <v>26</v>
      </c>
      <c r="C16" s="5" t="s">
        <v>27</v>
      </c>
      <c r="D16" s="5" t="s">
        <v>27</v>
      </c>
      <c r="E16" s="5" t="s">
        <v>28</v>
      </c>
      <c r="F16" s="4" t="s">
        <v>29</v>
      </c>
      <c r="G16" s="5" t="s">
        <v>61</v>
      </c>
      <c r="H16" s="6" t="s">
        <v>40</v>
      </c>
      <c r="I16" s="6" t="s">
        <v>85</v>
      </c>
      <c r="J16" s="6" t="s">
        <v>86</v>
      </c>
      <c r="K16" s="6" t="s">
        <v>87</v>
      </c>
      <c r="L16" s="6">
        <v>12345678</v>
      </c>
      <c r="M16" s="7" t="s">
        <v>36</v>
      </c>
      <c r="N16" s="7" t="s">
        <v>37</v>
      </c>
      <c r="O16" s="6" t="s">
        <v>38</v>
      </c>
      <c r="P16" s="7" t="s">
        <v>39</v>
      </c>
      <c r="Q16" s="6" t="s">
        <v>40</v>
      </c>
    </row>
    <row r="17" spans="1:17" ht="20.100000000000001" customHeight="1" x14ac:dyDescent="0.25">
      <c r="A17" s="4">
        <v>12</v>
      </c>
      <c r="B17" s="4" t="s">
        <v>26</v>
      </c>
      <c r="C17" s="5" t="s">
        <v>27</v>
      </c>
      <c r="D17" s="5" t="s">
        <v>27</v>
      </c>
      <c r="E17" s="5" t="s">
        <v>28</v>
      </c>
      <c r="F17" s="4" t="s">
        <v>88</v>
      </c>
      <c r="G17" s="5" t="s">
        <v>89</v>
      </c>
      <c r="H17" s="6" t="s">
        <v>40</v>
      </c>
      <c r="I17" s="6" t="s">
        <v>32</v>
      </c>
      <c r="J17" s="6" t="s">
        <v>33</v>
      </c>
      <c r="K17" s="6" t="s">
        <v>90</v>
      </c>
      <c r="L17" s="6" t="s">
        <v>91</v>
      </c>
      <c r="M17" s="7" t="s">
        <v>36</v>
      </c>
      <c r="N17" s="7" t="s">
        <v>37</v>
      </c>
      <c r="O17" s="6" t="s">
        <v>38</v>
      </c>
      <c r="P17" s="7" t="s">
        <v>39</v>
      </c>
      <c r="Q17" s="6" t="s">
        <v>40</v>
      </c>
    </row>
    <row r="18" spans="1:17" ht="20.100000000000001" customHeight="1" x14ac:dyDescent="0.25">
      <c r="A18" s="4">
        <v>13</v>
      </c>
      <c r="B18" s="4" t="s">
        <v>26</v>
      </c>
      <c r="C18" s="5" t="s">
        <v>27</v>
      </c>
      <c r="D18" s="5" t="s">
        <v>27</v>
      </c>
      <c r="E18" s="5" t="s">
        <v>28</v>
      </c>
      <c r="F18" s="4" t="s">
        <v>88</v>
      </c>
      <c r="G18" s="5" t="s">
        <v>92</v>
      </c>
      <c r="H18" s="6" t="s">
        <v>40</v>
      </c>
      <c r="I18" s="6" t="s">
        <v>47</v>
      </c>
      <c r="J18" s="6" t="s">
        <v>48</v>
      </c>
      <c r="K18" s="6" t="s">
        <v>93</v>
      </c>
      <c r="L18" s="6" t="s">
        <v>94</v>
      </c>
      <c r="M18" s="7" t="s">
        <v>36</v>
      </c>
      <c r="N18" s="7" t="s">
        <v>37</v>
      </c>
      <c r="O18" s="6" t="s">
        <v>38</v>
      </c>
      <c r="P18" s="7" t="s">
        <v>39</v>
      </c>
      <c r="Q18" s="6" t="s">
        <v>40</v>
      </c>
    </row>
  </sheetData>
  <mergeCells count="2">
    <mergeCell ref="A1:Q1"/>
    <mergeCell ref="B4:Q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workbookViewId="0">
      <selection sqref="A1:O1"/>
    </sheetView>
  </sheetViews>
  <sheetFormatPr baseColWidth="10" defaultColWidth="9.140625" defaultRowHeight="15" x14ac:dyDescent="0.25"/>
  <cols>
    <col min="1" max="1" width="7" customWidth="1"/>
    <col min="2" max="2" width="14" customWidth="1"/>
    <col min="3" max="3" width="16" customWidth="1"/>
    <col min="4" max="4" width="8.140625" bestFit="1" customWidth="1"/>
    <col min="5" max="5" width="84.140625" bestFit="1" customWidth="1"/>
    <col min="6" max="7" width="18" customWidth="1"/>
    <col min="8" max="10" width="20" customWidth="1"/>
    <col min="11" max="11" width="18" customWidth="1"/>
    <col min="12" max="12" width="22" customWidth="1"/>
    <col min="13" max="13" width="16" customWidth="1"/>
    <col min="14" max="14" width="24" customWidth="1"/>
    <col min="15" max="15" width="32" customWidth="1"/>
  </cols>
  <sheetData>
    <row r="1" spans="1:15" ht="32.1" customHeight="1" x14ac:dyDescent="0.25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3" spans="1:15" ht="24" customHeight="1" x14ac:dyDescent="0.25">
      <c r="B3" s="1" t="s">
        <v>1</v>
      </c>
      <c r="C3" s="2">
        <f>SUMPRODUCT((B7:B7&lt;&gt;"")/COUNTIF(B7:B7,B7:B7&amp;""))</f>
        <v>1</v>
      </c>
      <c r="D3" s="1" t="s">
        <v>2</v>
      </c>
      <c r="E3" s="2">
        <f>COUNTA(F7:F7)</f>
        <v>1</v>
      </c>
      <c r="F3" s="1" t="s">
        <v>5</v>
      </c>
      <c r="G3" s="2">
        <f>COUNTIF(M7:M7,"OPERATIVO")</f>
        <v>1</v>
      </c>
      <c r="H3" s="1" t="s">
        <v>96</v>
      </c>
      <c r="I3" s="2">
        <f>COUNTIF(M7:M7,"INOPERATIVO")</f>
        <v>0</v>
      </c>
      <c r="J3" s="1" t="s">
        <v>7</v>
      </c>
      <c r="K3" s="2">
        <f>COUNTA(F7:F7)-COUNTA(M7:M7)</f>
        <v>0</v>
      </c>
      <c r="L3" s="1" t="s">
        <v>3</v>
      </c>
      <c r="M3" s="2">
        <f>COUNTA(I7:I7)</f>
        <v>1</v>
      </c>
      <c r="N3" s="1" t="s">
        <v>97</v>
      </c>
      <c r="O3" s="2">
        <f>COUNTA(L7:L7)</f>
        <v>1</v>
      </c>
    </row>
    <row r="4" spans="1:15" ht="21.95" customHeight="1" x14ac:dyDescent="0.25">
      <c r="A4" s="8" t="s">
        <v>98</v>
      </c>
      <c r="B4" s="9" t="s">
        <v>99</v>
      </c>
      <c r="C4" s="10">
        <f>COUNTIF(G7:G7,"SUNMI")</f>
        <v>0</v>
      </c>
      <c r="D4" s="9" t="s">
        <v>100</v>
      </c>
      <c r="E4" s="10">
        <f>COUNTIF(G7:G7,"SHIJI")</f>
        <v>0</v>
      </c>
      <c r="F4" s="9" t="s">
        <v>101</v>
      </c>
      <c r="G4" s="10">
        <f>COUNTIF(G7:G7,"HONEYWELL")</f>
        <v>1</v>
      </c>
      <c r="H4" s="9" t="s">
        <v>102</v>
      </c>
      <c r="I4" s="10">
        <f>COUNTIF(G7:G7,"UNITECH")</f>
        <v>0</v>
      </c>
    </row>
    <row r="5" spans="1:15" ht="20.100000000000001" customHeight="1" x14ac:dyDescent="0.25">
      <c r="B5" s="15" t="s">
        <v>103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27.95" customHeight="1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15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104</v>
      </c>
      <c r="L6" s="3" t="s">
        <v>105</v>
      </c>
      <c r="M6" s="3" t="s">
        <v>21</v>
      </c>
      <c r="N6" s="3" t="s">
        <v>23</v>
      </c>
      <c r="O6" s="3" t="s">
        <v>106</v>
      </c>
    </row>
    <row r="7" spans="1:15" ht="20.100000000000001" customHeight="1" x14ac:dyDescent="0.25">
      <c r="A7" s="4">
        <v>1</v>
      </c>
      <c r="B7" s="4" t="s">
        <v>26</v>
      </c>
      <c r="C7" s="5" t="s">
        <v>27</v>
      </c>
      <c r="D7" s="5" t="s">
        <v>27</v>
      </c>
      <c r="E7" s="5" t="s">
        <v>28</v>
      </c>
      <c r="F7" s="5" t="s">
        <v>107</v>
      </c>
      <c r="G7" s="6" t="s">
        <v>101</v>
      </c>
      <c r="H7" s="6" t="s">
        <v>108</v>
      </c>
      <c r="I7" s="6" t="s">
        <v>109</v>
      </c>
      <c r="J7" s="6" t="s">
        <v>110</v>
      </c>
      <c r="K7" s="7" t="s">
        <v>111</v>
      </c>
      <c r="L7" s="7" t="s">
        <v>112</v>
      </c>
      <c r="M7" s="7" t="s">
        <v>22</v>
      </c>
      <c r="N7" s="6" t="s">
        <v>38</v>
      </c>
      <c r="O7" s="6" t="s">
        <v>40</v>
      </c>
    </row>
  </sheetData>
  <mergeCells count="2">
    <mergeCell ref="A1:O1"/>
    <mergeCell ref="B5:O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2"/>
  <sheetViews>
    <sheetView workbookViewId="0"/>
  </sheetViews>
  <sheetFormatPr baseColWidth="10" defaultColWidth="9.140625" defaultRowHeight="15" x14ac:dyDescent="0.25"/>
  <cols>
    <col min="1" max="1" width="5" customWidth="1"/>
    <col min="2" max="2" width="16" customWidth="1"/>
    <col min="3" max="3" width="14" customWidth="1"/>
    <col min="4" max="5" width="16" customWidth="1"/>
    <col min="6" max="6" width="45" customWidth="1"/>
    <col min="7" max="8" width="18" customWidth="1"/>
    <col min="9" max="12" width="14" customWidth="1"/>
    <col min="13" max="13" width="16" customWidth="1"/>
    <col min="14" max="14" width="12" customWidth="1"/>
    <col min="15" max="15" width="5" customWidth="1"/>
    <col min="16" max="17" width="18" customWidth="1"/>
  </cols>
  <sheetData>
    <row r="1" spans="2:17" ht="27.95" customHeight="1" x14ac:dyDescent="0.25">
      <c r="B1" s="11" t="s">
        <v>11</v>
      </c>
      <c r="C1" s="11" t="s">
        <v>9</v>
      </c>
      <c r="D1" s="11" t="s">
        <v>113</v>
      </c>
      <c r="E1" s="11" t="s">
        <v>114</v>
      </c>
      <c r="F1" s="11" t="s">
        <v>13</v>
      </c>
      <c r="G1" s="11" t="s">
        <v>115</v>
      </c>
      <c r="H1" s="11" t="s">
        <v>116</v>
      </c>
      <c r="I1" s="11" t="s">
        <v>117</v>
      </c>
      <c r="J1" s="11" t="s">
        <v>118</v>
      </c>
      <c r="K1" s="11" t="s">
        <v>119</v>
      </c>
      <c r="L1" s="11" t="s">
        <v>120</v>
      </c>
      <c r="M1" s="11" t="s">
        <v>121</v>
      </c>
      <c r="N1" s="11" t="s">
        <v>122</v>
      </c>
      <c r="P1" s="11" t="s">
        <v>123</v>
      </c>
      <c r="Q1" s="11" t="s">
        <v>124</v>
      </c>
    </row>
    <row r="2" spans="2:17" ht="20.100000000000001" customHeight="1" x14ac:dyDescent="0.25">
      <c r="B2" s="12" t="s">
        <v>27</v>
      </c>
      <c r="C2" s="13" t="s">
        <v>26</v>
      </c>
      <c r="D2" s="12" t="s">
        <v>125</v>
      </c>
      <c r="E2" s="12" t="s">
        <v>27</v>
      </c>
      <c r="F2" s="12" t="s">
        <v>28</v>
      </c>
      <c r="G2" s="13">
        <v>1</v>
      </c>
      <c r="H2" s="13">
        <v>1</v>
      </c>
      <c r="I2" s="13">
        <v>1</v>
      </c>
      <c r="J2" s="13">
        <f>I2</f>
        <v>1</v>
      </c>
      <c r="K2" s="13">
        <f>I2</f>
        <v>1</v>
      </c>
      <c r="L2" s="13">
        <f>I2</f>
        <v>1</v>
      </c>
      <c r="M2" s="13" t="s">
        <v>126</v>
      </c>
      <c r="N2" s="13" t="s">
        <v>127</v>
      </c>
      <c r="P2" s="13">
        <v>0</v>
      </c>
      <c r="Q2" s="13">
        <f>H2+P2</f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 POS</vt:lpstr>
      <vt:lpstr>Inventario PDA</vt:lpstr>
      <vt:lpstr>PDA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2026-09-27T18:32:38Z</dcterms:created>
  <dcterms:modified xsi:type="dcterms:W3CDTF">2026-09-27T18:34:21Z</dcterms:modified>
  <cp:category/>
</cp:coreProperties>
</file>